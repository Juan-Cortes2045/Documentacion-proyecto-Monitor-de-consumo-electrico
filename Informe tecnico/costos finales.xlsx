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1" activeTab="2" autoFilterDateGrouping="1"/>
  </bookViews>
  <sheets>
    <sheet xmlns:r="http://schemas.openxmlformats.org/officeDocument/2006/relationships" name="1.Resumen" sheetId="1" state="visible" r:id="rId1"/>
    <sheet xmlns:r="http://schemas.openxmlformats.org/officeDocument/2006/relationships" name="5.Diagrama de gantt" sheetId="2" state="visible" r:id="rId2"/>
    <sheet xmlns:r="http://schemas.openxmlformats.org/officeDocument/2006/relationships" name="costos del equipo de trabajo" sheetId="3" state="visible" r:id="rId3"/>
    <sheet xmlns:r="http://schemas.openxmlformats.org/officeDocument/2006/relationships" name="costos estimados para usuario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5">
    <numFmt numFmtId="164" formatCode="_-[$$-240A]\ * #,##0.00_-;\-[$$-240A]\ * #,##0.00_-;_-[$$-240A]\ * &quot;-&quot;??_-;_-@"/>
    <numFmt numFmtId="165" formatCode="_-&quot;$&quot;\ * #,##0.0_-;\-&quot;$&quot;\ * #,##0.0_-;_-&quot;$&quot;\ * &quot;-&quot;?_-;_-@"/>
    <numFmt numFmtId="166" formatCode="&quot;$&quot;\ #,##0;[Red]\-&quot;$&quot;\ #,##0"/>
    <numFmt numFmtId="167" formatCode="_-[$$-240A]\ * #,##0.00_-;\-[$$-240A]\ * #,##0.00_-;_-[$$-240A]\ * &quot;-&quot;??_-;_-@_-"/>
    <numFmt numFmtId="168" formatCode="&quot;$&quot;\ #,##0.00"/>
  </numFmts>
  <fonts count="1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sz val="11"/>
    </font>
    <font>
      <name val="Calibri"/>
      <color rgb="FF000000"/>
      <sz val="11"/>
    </font>
    <font>
      <name val="Calibri"/>
      <b val="1"/>
      <color theme="1"/>
      <sz val="18"/>
    </font>
    <font>
      <name val="Calibri"/>
      <b val="1"/>
      <color theme="1"/>
      <sz val="14"/>
    </font>
    <font>
      <name val="Aptos"/>
      <b val="1"/>
      <color theme="1"/>
      <sz val="14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548135"/>
        <bgColor rgb="FF548135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1" fillId="0" borderId="8"/>
    <xf numFmtId="44" fontId="11" fillId="0" borderId="8"/>
  </cellStyleXfs>
  <cellXfs count="161">
    <xf numFmtId="0" fontId="0" fillId="0" borderId="0" pivotButton="0" quotePrefix="0" xfId="0"/>
    <xf numFmtId="0" fontId="2" fillId="2" borderId="3" pivotButton="0" quotePrefix="0" xfId="0"/>
    <xf numFmtId="0" fontId="2" fillId="0" borderId="3" pivotButton="0" quotePrefix="0" xfId="0"/>
    <xf numFmtId="164" fontId="2" fillId="0" borderId="3" applyAlignment="1" pivotButton="0" quotePrefix="0" xfId="0">
      <alignment horizontal="right"/>
    </xf>
    <xf numFmtId="165" fontId="2" fillId="0" borderId="3" pivotButton="0" quotePrefix="0" xfId="0"/>
    <xf numFmtId="165" fontId="2" fillId="3" borderId="3" pivotButton="0" quotePrefix="0" xfId="0"/>
    <xf numFmtId="0" fontId="4" fillId="0" borderId="3" applyAlignment="1" pivotButton="0" quotePrefix="0" xfId="0">
      <alignment horizontal="right"/>
    </xf>
    <xf numFmtId="0" fontId="2" fillId="4" borderId="3" pivotButton="0" quotePrefix="0" xfId="0"/>
    <xf numFmtId="0" fontId="4" fillId="4" borderId="3" pivotButton="0" quotePrefix="0" xfId="0"/>
    <xf numFmtId="0" fontId="4" fillId="0" borderId="3" pivotButton="0" quotePrefix="0" xfId="0"/>
    <xf numFmtId="0" fontId="2" fillId="4" borderId="8" pivotButton="0" quotePrefix="0" xfId="0"/>
    <xf numFmtId="0" fontId="2" fillId="5" borderId="3" pivotButton="0" quotePrefix="0" xfId="0"/>
    <xf numFmtId="0" fontId="4" fillId="5" borderId="3" pivotButton="0" quotePrefix="0" xfId="0"/>
    <xf numFmtId="0" fontId="2" fillId="5" borderId="3" applyAlignment="1" pivotButton="0" quotePrefix="0" xfId="0">
      <alignment wrapText="1"/>
    </xf>
    <xf numFmtId="0" fontId="2" fillId="6" borderId="3" pivotButton="0" quotePrefix="0" xfId="0"/>
    <xf numFmtId="0" fontId="4" fillId="6" borderId="3" pivotButton="0" quotePrefix="0" xfId="0"/>
    <xf numFmtId="0" fontId="2" fillId="6" borderId="3" applyAlignment="1" pivotButton="0" quotePrefix="0" xfId="0">
      <alignment wrapText="1"/>
    </xf>
    <xf numFmtId="0" fontId="2" fillId="7" borderId="8" pivotButton="0" quotePrefix="0" xfId="0"/>
    <xf numFmtId="0" fontId="4" fillId="7" borderId="3" pivotButton="0" quotePrefix="0" xfId="0"/>
    <xf numFmtId="0" fontId="2" fillId="7" borderId="3" pivotButton="0" quotePrefix="0" xfId="0"/>
    <xf numFmtId="0" fontId="2" fillId="8" borderId="3" pivotButton="0" quotePrefix="0" xfId="0"/>
    <xf numFmtId="0" fontId="4" fillId="8" borderId="3" pivotButton="0" quotePrefix="0" xfId="0"/>
    <xf numFmtId="0" fontId="2" fillId="8" borderId="3" applyAlignment="1" pivotButton="0" quotePrefix="0" xfId="0">
      <alignment wrapText="1"/>
    </xf>
    <xf numFmtId="0" fontId="8" fillId="9" borderId="10" applyAlignment="1" pivotButton="0" quotePrefix="0" xfId="0">
      <alignment horizontal="center" vertical="center" wrapText="1"/>
    </xf>
    <xf numFmtId="0" fontId="8" fillId="9" borderId="9" applyAlignment="1" pivotButton="0" quotePrefix="0" xfId="0">
      <alignment horizontal="center" vertical="center" wrapText="1"/>
    </xf>
    <xf numFmtId="0" fontId="8" fillId="9" borderId="11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8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horizontal="right" vertical="center" wrapText="1"/>
    </xf>
    <xf numFmtId="166" fontId="4" fillId="0" borderId="13" applyAlignment="1" pivotButton="0" quotePrefix="0" xfId="0">
      <alignment horizontal="right" vertical="center" wrapText="1"/>
    </xf>
    <xf numFmtId="0" fontId="4" fillId="0" borderId="13" applyAlignment="1" pivotButton="0" quotePrefix="0" xfId="0">
      <alignment vertical="center" wrapText="1"/>
    </xf>
    <xf numFmtId="0" fontId="4" fillId="0" borderId="13" applyAlignment="1" pivotButton="0" quotePrefix="0" xfId="0">
      <alignment horizontal="right" vertical="center" wrapText="1"/>
    </xf>
    <xf numFmtId="166" fontId="4" fillId="0" borderId="14" applyAlignment="1" pivotButton="0" quotePrefix="0" xfId="0">
      <alignment horizontal="right" vertical="center" wrapText="1"/>
    </xf>
    <xf numFmtId="0" fontId="9" fillId="0" borderId="3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6" fontId="4" fillId="0" borderId="0" applyAlignment="1" pivotButton="0" quotePrefix="0" xfId="0">
      <alignment horizontal="right" vertical="center" wrapText="1"/>
    </xf>
    <xf numFmtId="0" fontId="4" fillId="0" borderId="14" applyAlignment="1" pivotButton="0" quotePrefix="0" xfId="0">
      <alignment horizontal="right" vertical="center" wrapText="1"/>
    </xf>
    <xf numFmtId="166" fontId="4" fillId="0" borderId="3" applyAlignment="1" pivotButton="0" quotePrefix="0" xfId="0">
      <alignment horizontal="right" vertical="center" wrapText="1"/>
    </xf>
    <xf numFmtId="0" fontId="4" fillId="0" borderId="14" applyAlignment="1" pivotButton="0" quotePrefix="0" xfId="0">
      <alignment horizontal="right" vertical="center" wrapText="1"/>
    </xf>
    <xf numFmtId="0" fontId="4" fillId="0" borderId="14" applyAlignment="1" pivotButton="0" quotePrefix="0" xfId="0">
      <alignment vertical="center" wrapText="1"/>
    </xf>
    <xf numFmtId="0" fontId="8" fillId="0" borderId="15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9" fillId="0" borderId="3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/>
    </xf>
    <xf numFmtId="0" fontId="3" fillId="0" borderId="2" pivotButton="0" quotePrefix="0" xfId="0"/>
    <xf numFmtId="0" fontId="4" fillId="0" borderId="1" applyAlignment="1" pivotButton="0" quotePrefix="0" xfId="0">
      <alignment horizontal="center"/>
    </xf>
    <xf numFmtId="0" fontId="3" fillId="0" borderId="4" pivotButton="0" quotePrefix="0" xfId="0"/>
    <xf numFmtId="0" fontId="2" fillId="0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5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167" fontId="1" fillId="0" borderId="16" applyAlignment="1" pivotButton="0" quotePrefix="0" xfId="1">
      <alignment horizontal="right" vertical="center" wrapText="1"/>
    </xf>
    <xf numFmtId="168" fontId="8" fillId="0" borderId="13" applyAlignment="1" pivotButton="0" quotePrefix="0" xfId="1">
      <alignment horizontal="right" vertical="center" wrapText="1"/>
    </xf>
    <xf numFmtId="0" fontId="13" fillId="0" borderId="12" applyAlignment="1" pivotButton="0" quotePrefix="0" xfId="0">
      <alignment vertical="center" wrapText="1"/>
    </xf>
    <xf numFmtId="0" fontId="8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166" fontId="9" fillId="0" borderId="8" pivotButton="0" quotePrefix="0" xfId="0"/>
    <xf numFmtId="168" fontId="9" fillId="0" borderId="3" pivotButton="0" quotePrefix="0" xfId="0"/>
    <xf numFmtId="168" fontId="9" fillId="0" borderId="7" pivotButton="0" quotePrefix="0" xfId="0"/>
    <xf numFmtId="0" fontId="14" fillId="0" borderId="3" applyAlignment="1" pivotButton="0" quotePrefix="0" xfId="0">
      <alignment vertical="center" wrapText="1"/>
    </xf>
    <xf numFmtId="0" fontId="12" fillId="0" borderId="3" applyAlignment="1" pivotButton="0" quotePrefix="0" xfId="0">
      <alignment vertical="center" wrapText="1"/>
    </xf>
    <xf numFmtId="0" fontId="14" fillId="0" borderId="5" applyAlignment="1" pivotButton="0" quotePrefix="0" xfId="0">
      <alignment vertical="center" wrapText="1"/>
    </xf>
    <xf numFmtId="0" fontId="5" fillId="9" borderId="17" applyAlignment="1" pivotButton="0" quotePrefix="0" xfId="0">
      <alignment horizontal="center"/>
    </xf>
    <xf numFmtId="0" fontId="3" fillId="0" borderId="18" pivotButton="0" quotePrefix="0" xfId="0"/>
    <xf numFmtId="0" fontId="3" fillId="0" borderId="19" pivotButton="0" quotePrefix="0" xfId="0"/>
    <xf numFmtId="0" fontId="0" fillId="0" borderId="8" pivotButton="0" quotePrefix="0" xfId="0"/>
    <xf numFmtId="0" fontId="9" fillId="0" borderId="8" applyAlignment="1" pivotButton="0" quotePrefix="0" xfId="0">
      <alignment vertical="center" wrapText="1"/>
    </xf>
    <xf numFmtId="0" fontId="12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3" fillId="0" borderId="8" pivotButton="0" quotePrefix="0" xfId="0"/>
    <xf numFmtId="0" fontId="12" fillId="0" borderId="8" applyAlignment="1" pivotButton="0" quotePrefix="0" xfId="0">
      <alignment horizontal="right"/>
    </xf>
    <xf numFmtId="0" fontId="1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vertical="center" wrapText="1"/>
    </xf>
    <xf numFmtId="168" fontId="14" fillId="0" borderId="23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2" fillId="0" borderId="20" applyAlignment="1" pivotButton="0" quotePrefix="0" xfId="0">
      <alignment horizontal="left" vertical="center" wrapText="1"/>
    </xf>
    <xf numFmtId="0" fontId="3" fillId="0" borderId="22" pivotButton="0" quotePrefix="0" xfId="0"/>
    <xf numFmtId="167" fontId="14" fillId="0" borderId="24" applyAlignment="1" pivotButton="0" quotePrefix="0" xfId="0">
      <alignment horizontal="left"/>
    </xf>
    <xf numFmtId="167" fontId="14" fillId="0" borderId="25" applyAlignment="1" pivotButton="0" quotePrefix="0" xfId="0">
      <alignment horizontal="left"/>
    </xf>
    <xf numFmtId="166" fontId="12" fillId="0" borderId="3" applyAlignment="1" pivotButton="0" quotePrefix="0" xfId="0">
      <alignment horizontal="right" vertical="center" wrapText="1"/>
    </xf>
    <xf numFmtId="168" fontId="13" fillId="0" borderId="13" applyAlignment="1" pivotButton="0" quotePrefix="0" xfId="0">
      <alignment horizontal="right" vertical="center" wrapText="1"/>
    </xf>
    <xf numFmtId="0" fontId="9" fillId="0" borderId="3" applyAlignment="1" pivotButton="0" quotePrefix="0" xfId="0">
      <alignment vertical="center"/>
    </xf>
    <xf numFmtId="0" fontId="12" fillId="0" borderId="20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22" applyAlignment="1" pivotButton="0" quotePrefix="0" xfId="0">
      <alignment vertical="center" wrapText="1"/>
    </xf>
    <xf numFmtId="166" fontId="4" fillId="0" borderId="8" applyAlignment="1" pivotButton="0" quotePrefix="0" xfId="0">
      <alignment vertical="center" wrapText="1"/>
    </xf>
    <xf numFmtId="0" fontId="5" fillId="9" borderId="26" applyAlignment="1" pivotButton="0" quotePrefix="0" xfId="0">
      <alignment horizontal="center"/>
    </xf>
    <xf numFmtId="0" fontId="3" fillId="0" borderId="27" pivotButton="0" quotePrefix="0" xfId="0"/>
    <xf numFmtId="0" fontId="3" fillId="0" borderId="28" pivotButton="0" quotePrefix="0" xfId="0"/>
    <xf numFmtId="0" fontId="7" fillId="9" borderId="29" applyAlignment="1" pivotButton="0" quotePrefix="0" xfId="0">
      <alignment vertical="center" wrapText="1"/>
    </xf>
    <xf numFmtId="0" fontId="8" fillId="9" borderId="13" applyAlignment="1" pivotButton="0" quotePrefix="0" xfId="0">
      <alignment horizontal="center" vertical="center" wrapText="1"/>
    </xf>
    <xf numFmtId="0" fontId="8" fillId="9" borderId="30" applyAlignment="1" pivotButton="0" quotePrefix="0" xfId="0">
      <alignment horizontal="center" vertical="center" wrapText="1"/>
    </xf>
    <xf numFmtId="0" fontId="8" fillId="0" borderId="29" applyAlignment="1" pivotButton="0" quotePrefix="0" xfId="0">
      <alignment vertical="center" wrapText="1"/>
    </xf>
    <xf numFmtId="168" fontId="13" fillId="0" borderId="30" applyAlignment="1" pivotButton="0" quotePrefix="0" xfId="0">
      <alignment horizontal="right" vertical="center" wrapText="1"/>
    </xf>
    <xf numFmtId="0" fontId="13" fillId="0" borderId="29" applyAlignment="1" pivotButton="0" quotePrefix="0" xfId="0">
      <alignment vertical="center" wrapText="1"/>
    </xf>
    <xf numFmtId="0" fontId="13" fillId="0" borderId="31" applyAlignment="1" pivotButton="0" quotePrefix="0" xfId="0">
      <alignment vertical="center" wrapText="1"/>
    </xf>
    <xf numFmtId="0" fontId="4" fillId="0" borderId="32" applyAlignment="1" pivotButton="0" quotePrefix="0" xfId="0">
      <alignment vertical="center" wrapText="1"/>
    </xf>
    <xf numFmtId="166" fontId="4" fillId="0" borderId="32" applyAlignment="1" pivotButton="0" quotePrefix="0" xfId="0">
      <alignment horizontal="right" vertical="center" wrapText="1"/>
    </xf>
    <xf numFmtId="168" fontId="13" fillId="0" borderId="33" applyAlignment="1" pivotButton="0" quotePrefix="0" xfId="0">
      <alignment horizontal="right" vertical="center" wrapText="1"/>
    </xf>
    <xf numFmtId="0" fontId="5" fillId="9" borderId="34" applyAlignment="1" pivotButton="0" quotePrefix="0" xfId="0">
      <alignment horizontal="center"/>
    </xf>
    <xf numFmtId="0" fontId="3" fillId="0" borderId="35" pivotButton="0" quotePrefix="0" xfId="0"/>
    <xf numFmtId="0" fontId="3" fillId="0" borderId="36" pivotButton="0" quotePrefix="0" xfId="0"/>
    <xf numFmtId="0" fontId="13" fillId="0" borderId="37" applyAlignment="1" pivotButton="0" quotePrefix="0" xfId="0">
      <alignment vertical="center" wrapText="1"/>
    </xf>
    <xf numFmtId="0" fontId="13" fillId="0" borderId="38" applyAlignment="1" pivotButton="0" quotePrefix="0" xfId="0">
      <alignment vertical="center" wrapText="1"/>
    </xf>
    <xf numFmtId="0" fontId="8" fillId="9" borderId="39" applyAlignment="1" pivotButton="0" quotePrefix="0" xfId="0">
      <alignment horizontal="center" vertical="center" wrapText="1"/>
    </xf>
    <xf numFmtId="0" fontId="8" fillId="9" borderId="40" applyAlignment="1" pivotButton="0" quotePrefix="0" xfId="0">
      <alignment horizontal="center" vertical="center" wrapText="1"/>
    </xf>
    <xf numFmtId="0" fontId="8" fillId="9" borderId="36" applyAlignment="1" pivotButton="0" quotePrefix="0" xfId="0">
      <alignment horizontal="center" vertical="center" wrapText="1"/>
    </xf>
    <xf numFmtId="0" fontId="8" fillId="0" borderId="37" applyAlignment="1" pivotButton="0" quotePrefix="0" xfId="0">
      <alignment vertical="center" wrapText="1"/>
    </xf>
    <xf numFmtId="0" fontId="4" fillId="0" borderId="38" applyAlignment="1" pivotButton="0" quotePrefix="0" xfId="0">
      <alignment vertical="center" wrapText="1"/>
    </xf>
    <xf numFmtId="0" fontId="8" fillId="0" borderId="41" applyAlignment="1" pivotButton="0" quotePrefix="0" xfId="0">
      <alignment vertical="center" wrapText="1"/>
    </xf>
    <xf numFmtId="0" fontId="4" fillId="0" borderId="42" applyAlignment="1" pivotButton="0" quotePrefix="0" xfId="0">
      <alignment vertical="center" wrapText="1"/>
    </xf>
    <xf numFmtId="166" fontId="4" fillId="0" borderId="43" applyAlignment="1" pivotButton="0" quotePrefix="0" xfId="0">
      <alignment horizontal="right" vertical="center" wrapText="1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4" fillId="0" borderId="3" applyAlignment="1" pivotButton="0" quotePrefix="0" xfId="0">
      <alignment horizontal="center"/>
    </xf>
    <xf numFmtId="0" fontId="0" fillId="0" borderId="4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9" borderId="48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5" fillId="9" borderId="49" applyAlignment="1" pivotButton="0" quotePrefix="0" xfId="0">
      <alignment horizontal="center"/>
    </xf>
    <xf numFmtId="0" fontId="0" fillId="0" borderId="35" pivotButton="0" quotePrefix="0" xfId="0"/>
    <xf numFmtId="0" fontId="0" fillId="0" borderId="36" pivotButton="0" quotePrefix="0" xfId="0"/>
    <xf numFmtId="0" fontId="6" fillId="9" borderId="3" applyAlignment="1" pivotButton="0" quotePrefix="0" xfId="0">
      <alignment horizontal="center"/>
    </xf>
    <xf numFmtId="0" fontId="5" fillId="9" borderId="3" applyAlignment="1" pivotButton="0" quotePrefix="0" xfId="0">
      <alignment horizontal="center"/>
    </xf>
    <xf numFmtId="166" fontId="4" fillId="0" borderId="13" applyAlignment="1" pivotButton="0" quotePrefix="0" xfId="0">
      <alignment horizontal="right" vertical="center" wrapText="1"/>
    </xf>
    <xf numFmtId="168" fontId="13" fillId="0" borderId="30" applyAlignment="1" pivotButton="0" quotePrefix="0" xfId="0">
      <alignment horizontal="right" vertical="center" wrapText="1"/>
    </xf>
    <xf numFmtId="166" fontId="4" fillId="0" borderId="43" applyAlignment="1" pivotButton="0" quotePrefix="0" xfId="0">
      <alignment horizontal="right" vertical="center" wrapText="1"/>
    </xf>
    <xf numFmtId="166" fontId="4" fillId="0" borderId="14" applyAlignment="1" pivotButton="0" quotePrefix="0" xfId="0">
      <alignment horizontal="right" vertical="center" wrapText="1"/>
    </xf>
    <xf numFmtId="168" fontId="9" fillId="0" borderId="3" pivotButton="0" quotePrefix="0" xfId="0"/>
    <xf numFmtId="166" fontId="4" fillId="0" borderId="0" applyAlignment="1" pivotButton="0" quotePrefix="0" xfId="0">
      <alignment horizontal="right" vertical="center" wrapText="1"/>
    </xf>
    <xf numFmtId="166" fontId="4" fillId="0" borderId="3" applyAlignment="1" pivotButton="0" quotePrefix="0" xfId="0">
      <alignment horizontal="right" vertical="center" wrapText="1"/>
    </xf>
    <xf numFmtId="166" fontId="4" fillId="0" borderId="8" applyAlignment="1" pivotButton="0" quotePrefix="0" xfId="0">
      <alignment vertical="center" wrapText="1"/>
    </xf>
    <xf numFmtId="168" fontId="9" fillId="0" borderId="7" pivotButton="0" quotePrefix="0" xfId="0"/>
    <xf numFmtId="166" fontId="4" fillId="0" borderId="32" applyAlignment="1" pivotButton="0" quotePrefix="0" xfId="0">
      <alignment horizontal="right" vertical="center" wrapText="1"/>
    </xf>
    <xf numFmtId="168" fontId="13" fillId="0" borderId="33" applyAlignment="1" pivotButton="0" quotePrefix="0" xfId="0">
      <alignment horizontal="right" vertical="center" wrapText="1"/>
    </xf>
    <xf numFmtId="166" fontId="9" fillId="0" borderId="8" pivotButton="0" quotePrefix="0" xfId="0"/>
    <xf numFmtId="168" fontId="13" fillId="0" borderId="13" applyAlignment="1" pivotButton="0" quotePrefix="0" xfId="0">
      <alignment horizontal="right" vertical="center" wrapText="1"/>
    </xf>
    <xf numFmtId="0" fontId="12" fillId="0" borderId="5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168" fontId="14" fillId="0" borderId="23" applyAlignment="1" pivotButton="0" quotePrefix="0" xfId="0">
      <alignment horizontal="left" vertical="center" wrapText="1"/>
    </xf>
    <xf numFmtId="0" fontId="0" fillId="0" borderId="50" pivotButton="0" quotePrefix="0" xfId="0"/>
    <xf numFmtId="0" fontId="0" fillId="0" borderId="25" pivotButton="0" quotePrefix="0" xfId="0"/>
    <xf numFmtId="167" fontId="1" fillId="0" borderId="16" applyAlignment="1" pivotButton="0" quotePrefix="0" xfId="1">
      <alignment horizontal="right" vertical="center" wrapText="1"/>
    </xf>
    <xf numFmtId="166" fontId="12" fillId="0" borderId="3" applyAlignment="1" pivotButton="0" quotePrefix="0" xfId="0">
      <alignment horizontal="right" vertical="center" wrapText="1"/>
    </xf>
    <xf numFmtId="168" fontId="8" fillId="0" borderId="13" applyAlignment="1" pivotButton="0" quotePrefix="0" xfId="1">
      <alignment horizontal="right" vertical="center" wrapText="1"/>
    </xf>
    <xf numFmtId="0" fontId="5" fillId="9" borderId="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2" fillId="0" borderId="5" applyAlignment="1" pivotButton="0" quotePrefix="0" xfId="0">
      <alignment horizontal="left" vertical="center" wrapText="1"/>
    </xf>
    <xf numFmtId="167" fontId="14" fillId="0" borderId="23" applyAlignment="1" pivotButton="0" quotePrefix="0" xfId="0">
      <alignment horizontal="left"/>
    </xf>
    <xf numFmtId="0" fontId="10" fillId="9" borderId="3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C4" sqref="C4"/>
    </sheetView>
  </sheetViews>
  <sheetFormatPr baseColWidth="10" defaultColWidth="14.42578125" defaultRowHeight="15" customHeight="1"/>
  <cols>
    <col width="10.7109375" customWidth="1" min="1" max="2"/>
    <col width="28.140625" customWidth="1" min="3" max="3"/>
    <col width="10.7109375" customWidth="1" min="4" max="26"/>
  </cols>
  <sheetData>
    <row r="1" ht="14.25" customHeight="1"/>
    <row r="2" ht="14.25" customHeight="1">
      <c r="B2" s="118" t="inlineStr">
        <is>
          <t>Resumen Ejecutivo Ppto</t>
        </is>
      </c>
      <c r="C2" s="119" t="n"/>
    </row>
    <row r="3" ht="14.25" customHeight="1">
      <c r="B3" s="1" t="inlineStr">
        <is>
          <t>ITEM</t>
        </is>
      </c>
      <c r="C3" s="1" t="inlineStr">
        <is>
          <t>COSTOS</t>
        </is>
      </c>
    </row>
    <row r="4" ht="14.25" customHeight="1">
      <c r="B4" s="2" t="inlineStr">
        <is>
          <t>Hardware</t>
        </is>
      </c>
      <c r="C4" s="3">
        <f>'costos del equipo de trabajo'!E16</f>
        <v/>
      </c>
    </row>
    <row r="5" ht="14.25" customHeight="1">
      <c r="B5" s="2" t="inlineStr">
        <is>
          <t>Software</t>
        </is>
      </c>
      <c r="C5" s="4">
        <f>'costos del equipo de trabajo'!I7</f>
        <v/>
      </c>
    </row>
    <row r="6" ht="14.25" customHeight="1">
      <c r="B6" s="2" t="inlineStr">
        <is>
          <t>Rec. Humano</t>
        </is>
      </c>
      <c r="C6" s="4">
        <f>'costos del equipo de trabajo'!O8</f>
        <v/>
      </c>
    </row>
    <row r="7" ht="14.25" customHeight="1">
      <c r="B7" s="2" t="inlineStr">
        <is>
          <t>Otros</t>
        </is>
      </c>
      <c r="C7" s="4" t="n">
        <v>0</v>
      </c>
    </row>
    <row r="8" ht="14.25" customHeight="1">
      <c r="C8" s="5">
        <f>SUM(C4:C6)</f>
        <v/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C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25"/>
  <sheetViews>
    <sheetView topLeftCell="A7" workbookViewId="0">
      <selection activeCell="A1" sqref="A1"/>
    </sheetView>
  </sheetViews>
  <sheetFormatPr baseColWidth="10" defaultColWidth="14.42578125" defaultRowHeight="15" customHeight="1"/>
  <cols>
    <col width="10.7109375" customWidth="1" min="1" max="2"/>
    <col width="24.7109375" customWidth="1" min="3" max="3"/>
    <col width="5.28515625" customWidth="1" min="4" max="4"/>
    <col width="5.140625" customWidth="1" min="5" max="5"/>
    <col width="5" customWidth="1" min="6" max="6"/>
    <col width="5.42578125" customWidth="1" min="7" max="7"/>
    <col width="5.28515625" customWidth="1" min="8" max="9"/>
    <col width="5.140625" customWidth="1" min="10" max="10"/>
    <col width="5.28515625" customWidth="1" min="11" max="13"/>
    <col width="5" customWidth="1" min="14" max="15"/>
    <col width="5.28515625" customWidth="1" min="16" max="17"/>
    <col width="5" customWidth="1" min="18" max="18"/>
    <col width="5.28515625" customWidth="1" min="19" max="19"/>
    <col width="5.140625" customWidth="1" min="20" max="20"/>
    <col width="5.28515625" customWidth="1" min="21" max="26"/>
    <col width="5.42578125" customWidth="1" min="27" max="31"/>
  </cols>
  <sheetData>
    <row r="1" ht="14.25" customHeight="1"/>
    <row r="2" ht="14.25" customHeight="1">
      <c r="D2" s="120" t="inlineStr">
        <is>
          <t>ENERO</t>
        </is>
      </c>
      <c r="E2" s="121" t="n"/>
      <c r="F2" s="121" t="n"/>
      <c r="G2" s="119" t="n"/>
      <c r="H2" s="120" t="inlineStr">
        <is>
          <t>FEBRERO</t>
        </is>
      </c>
      <c r="I2" s="121" t="n"/>
      <c r="J2" s="121" t="n"/>
      <c r="K2" s="119" t="n"/>
      <c r="L2" s="120" t="inlineStr">
        <is>
          <t>MARZO</t>
        </is>
      </c>
      <c r="M2" s="121" t="n"/>
      <c r="N2" s="121" t="n"/>
      <c r="O2" s="119" t="n"/>
      <c r="P2" s="120" t="inlineStr">
        <is>
          <t>ABRIL</t>
        </is>
      </c>
      <c r="Q2" s="121" t="n"/>
      <c r="R2" s="121" t="n"/>
      <c r="S2" s="119" t="n"/>
      <c r="T2" s="120" t="inlineStr">
        <is>
          <t>MAYO</t>
        </is>
      </c>
      <c r="U2" s="121" t="n"/>
      <c r="V2" s="121" t="n"/>
      <c r="W2" s="119" t="n"/>
      <c r="X2" s="120" t="inlineStr">
        <is>
          <t>JUNIO</t>
        </is>
      </c>
      <c r="Y2" s="121" t="n"/>
      <c r="Z2" s="121" t="n"/>
      <c r="AA2" s="119" t="n"/>
      <c r="AB2" s="120" t="inlineStr">
        <is>
          <t>JULIO</t>
        </is>
      </c>
      <c r="AC2" s="121" t="n"/>
      <c r="AD2" s="121" t="n"/>
      <c r="AE2" s="119" t="n"/>
    </row>
    <row r="3" ht="14.25" customHeight="1">
      <c r="D3" s="6" t="n">
        <v>1</v>
      </c>
      <c r="E3" s="6" t="n">
        <v>2</v>
      </c>
      <c r="F3" s="6" t="n">
        <v>3</v>
      </c>
      <c r="G3" s="6" t="n">
        <v>4</v>
      </c>
      <c r="H3" s="6" t="n">
        <v>1</v>
      </c>
      <c r="I3" s="6" t="n">
        <v>2</v>
      </c>
      <c r="J3" s="6" t="n">
        <v>3</v>
      </c>
      <c r="K3" s="6" t="n">
        <v>4</v>
      </c>
      <c r="L3" s="6" t="n">
        <v>1</v>
      </c>
      <c r="M3" s="6" t="n">
        <v>2</v>
      </c>
      <c r="N3" s="6" t="n">
        <v>3</v>
      </c>
      <c r="O3" s="6" t="n">
        <v>4</v>
      </c>
      <c r="P3" s="6" t="n">
        <v>1</v>
      </c>
      <c r="Q3" s="6" t="n">
        <v>2</v>
      </c>
      <c r="R3" s="6" t="n">
        <v>3</v>
      </c>
      <c r="S3" s="6" t="n">
        <v>4</v>
      </c>
      <c r="T3" s="6" t="n">
        <v>1</v>
      </c>
      <c r="U3" s="6" t="n">
        <v>2</v>
      </c>
      <c r="V3" s="6" t="n">
        <v>3</v>
      </c>
      <c r="W3" s="6" t="n">
        <v>4</v>
      </c>
      <c r="X3" s="6" t="n">
        <v>1</v>
      </c>
      <c r="Y3" s="6" t="n">
        <v>2</v>
      </c>
      <c r="Z3" s="6" t="n">
        <v>3</v>
      </c>
      <c r="AA3" s="6" t="n">
        <v>4</v>
      </c>
      <c r="AB3" s="6" t="n">
        <v>1</v>
      </c>
      <c r="AC3" s="6" t="n">
        <v>2</v>
      </c>
      <c r="AD3" s="6" t="n">
        <v>3</v>
      </c>
      <c r="AE3" s="6" t="n">
        <v>4</v>
      </c>
    </row>
    <row r="4" ht="14.25" customHeight="1">
      <c r="B4" s="122" t="inlineStr">
        <is>
          <t>Analsis</t>
        </is>
      </c>
      <c r="C4" s="7" t="inlineStr">
        <is>
          <t>Elicitación</t>
        </is>
      </c>
      <c r="D4" s="8" t="n"/>
      <c r="E4" s="8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</row>
    <row r="5" ht="14.25" customHeight="1">
      <c r="B5" s="123" t="n"/>
      <c r="C5" s="7" t="inlineStr">
        <is>
          <t>Análisis</t>
        </is>
      </c>
      <c r="D5" s="9" t="n"/>
      <c r="E5" s="9" t="n"/>
      <c r="F5" s="8" t="n"/>
      <c r="G5" s="8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</row>
    <row r="6" ht="14.25" customHeight="1">
      <c r="B6" s="123" t="n"/>
      <c r="C6" s="7" t="inlineStr">
        <is>
          <t>Informe de analisis (SRS)</t>
        </is>
      </c>
      <c r="D6" s="9" t="n"/>
      <c r="E6" s="9" t="n"/>
      <c r="F6" s="9" t="n"/>
      <c r="G6" s="9" t="n"/>
      <c r="H6" s="8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</row>
    <row r="7" ht="14.25" customHeight="1">
      <c r="B7" s="124" t="n"/>
      <c r="C7" s="10" t="inlineStr">
        <is>
          <t>Validación de requerimientos</t>
        </is>
      </c>
      <c r="D7" s="9" t="n"/>
      <c r="E7" s="9" t="n"/>
      <c r="F7" s="9" t="n"/>
      <c r="G7" s="9" t="n"/>
      <c r="H7" s="9" t="n"/>
      <c r="I7" s="8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</row>
    <row r="8" ht="14.25" customHeight="1">
      <c r="B8" s="122" t="inlineStr">
        <is>
          <t>Planeación</t>
        </is>
      </c>
      <c r="C8" s="11" t="inlineStr">
        <is>
          <t>Crear arquitectura</t>
        </is>
      </c>
      <c r="D8" s="9" t="n"/>
      <c r="E8" s="9" t="n"/>
      <c r="F8" s="9" t="n"/>
      <c r="G8" s="9" t="n"/>
      <c r="H8" s="9" t="n"/>
      <c r="I8" s="9" t="n"/>
      <c r="J8" s="12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</row>
    <row r="9" ht="14.25" customHeight="1">
      <c r="B9" s="123" t="n"/>
      <c r="C9" s="11" t="inlineStr">
        <is>
          <t>Seleccionar tecnologias</t>
        </is>
      </c>
      <c r="D9" s="9" t="n"/>
      <c r="E9" s="9" t="n"/>
      <c r="F9" s="9" t="n"/>
      <c r="G9" s="9" t="n"/>
      <c r="H9" s="9" t="n"/>
      <c r="I9" s="9" t="n"/>
      <c r="J9" s="9" t="n"/>
      <c r="K9" s="12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</row>
    <row r="10" ht="14.25" customHeight="1">
      <c r="B10" s="123" t="n"/>
      <c r="C10" s="11" t="inlineStr">
        <is>
          <t>Disgramas UML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12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</row>
    <row r="11" ht="29.25" customHeight="1">
      <c r="B11" s="124" t="n"/>
      <c r="C11" s="13" t="inlineStr">
        <is>
          <t>Diseñar la UI de la app y Informe de diseño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12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</row>
    <row r="12" ht="14.25" customHeight="1">
      <c r="B12" s="122" t="inlineStr">
        <is>
          <t>Desarrollo</t>
        </is>
      </c>
      <c r="C12" s="14" t="inlineStr">
        <is>
          <t>Configuración de entorno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5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</row>
    <row r="13" ht="28.5" customHeight="1">
      <c r="B13" s="123" t="n"/>
      <c r="C13" s="16" t="inlineStr">
        <is>
          <t>Desarrollo de prototipo físico (HW)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5" t="n"/>
      <c r="O13" s="15" t="n"/>
      <c r="P13" s="15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</row>
    <row r="14" ht="31.5" customHeight="1">
      <c r="B14" s="123" t="n"/>
      <c r="C14" s="16" t="inlineStr">
        <is>
          <t>Desarrollo de backend (API / lógica de negocio)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15" t="n"/>
      <c r="Q14" s="15" t="n"/>
      <c r="R14" s="15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</row>
    <row r="15" ht="28.5" customHeight="1">
      <c r="B15" s="123" t="n"/>
      <c r="C15" s="16" t="inlineStr">
        <is>
          <t>Desarrollo de frontend / app móvil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15" t="n"/>
      <c r="S15" s="15" t="n"/>
      <c r="T15" s="15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</row>
    <row r="16" ht="14.25" customHeight="1">
      <c r="B16" s="123" t="n"/>
      <c r="C16" s="14" t="inlineStr">
        <is>
          <t>Integración HW–SW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5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</row>
    <row r="17" ht="14.25" customHeight="1">
      <c r="B17" s="124" t="n"/>
      <c r="C17" s="14" t="inlineStr">
        <is>
          <t>Documentación técnica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15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</row>
    <row r="18" ht="14.25" customHeight="1">
      <c r="B18" s="122" t="inlineStr">
        <is>
          <t>IMPLEMENTACION</t>
        </is>
      </c>
      <c r="C18" s="17" t="inlineStr">
        <is>
          <t>Pruebas unitarias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18" t="n"/>
      <c r="X18" s="9" t="n"/>
      <c r="Y18" s="9" t="n"/>
      <c r="Z18" s="9" t="n"/>
      <c r="AA18" s="9" t="n"/>
      <c r="AB18" s="9" t="n"/>
      <c r="AC18" s="9" t="n"/>
      <c r="AD18" s="9" t="n"/>
      <c r="AE18" s="9" t="n"/>
    </row>
    <row r="19" ht="14.25" customHeight="1">
      <c r="B19" s="123" t="n"/>
      <c r="C19" s="19" t="inlineStr">
        <is>
          <t>Pruebas de integración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18" t="n"/>
      <c r="Y19" s="9" t="n"/>
      <c r="Z19" s="9" t="n"/>
      <c r="AA19" s="9" t="n"/>
      <c r="AB19" s="9" t="n"/>
      <c r="AC19" s="9" t="n"/>
      <c r="AD19" s="9" t="n"/>
      <c r="AE19" s="9" t="n"/>
    </row>
    <row r="20" ht="14.25" customHeight="1">
      <c r="B20" s="123" t="n"/>
      <c r="C20" s="19" t="inlineStr">
        <is>
          <t>Pruebas con usuarios finales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18" t="n"/>
      <c r="Z20" s="9" t="n"/>
      <c r="AA20" s="9" t="n"/>
      <c r="AB20" s="9" t="n"/>
      <c r="AC20" s="9" t="n"/>
      <c r="AD20" s="9" t="n"/>
      <c r="AE20" s="9" t="n"/>
    </row>
    <row r="21" ht="14.25" customHeight="1">
      <c r="B21" s="124" t="n"/>
      <c r="C21" s="19" t="inlineStr">
        <is>
          <t>Corrección de errores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18" t="n"/>
      <c r="AA21" s="9" t="n"/>
      <c r="AB21" s="9" t="n"/>
      <c r="AC21" s="9" t="n"/>
      <c r="AD21" s="9" t="n"/>
      <c r="AE21" s="9" t="n"/>
    </row>
    <row r="22" ht="14.25" customHeight="1">
      <c r="B22" s="122" t="inlineStr">
        <is>
          <t>EVALUACION</t>
        </is>
      </c>
      <c r="C22" s="20" t="inlineStr">
        <is>
          <t>Validación de requerimientos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21" t="n"/>
      <c r="AB22" s="21" t="n"/>
      <c r="AC22" s="9" t="n"/>
      <c r="AD22" s="9" t="n"/>
      <c r="AE22" s="9" t="n"/>
    </row>
    <row r="23" ht="27.75" customHeight="1">
      <c r="B23" s="123" t="n"/>
      <c r="C23" s="22" t="inlineStr">
        <is>
          <t>Evaluación de desempeño del prototipo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21" t="n"/>
      <c r="AC23" s="21" t="n"/>
      <c r="AD23" s="9" t="n"/>
      <c r="AE23" s="9" t="n"/>
    </row>
    <row r="24" ht="14.25" customHeight="1">
      <c r="B24" s="123" t="n"/>
      <c r="C24" s="20" t="inlineStr">
        <is>
          <t>Informe final de evaluación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21" t="n"/>
      <c r="AE24" s="9" t="n"/>
    </row>
    <row r="25" ht="28.5" customHeight="1">
      <c r="B25" s="124" t="n"/>
      <c r="C25" s="22" t="inlineStr">
        <is>
          <t>Presentación y cierre del proyecto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21" t="n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B22:B25"/>
    <mergeCell ref="B12:B17"/>
    <mergeCell ref="B8:B11"/>
    <mergeCell ref="B4:B7"/>
    <mergeCell ref="B18:B21"/>
    <mergeCell ref="H2:K2"/>
    <mergeCell ref="L2:O2"/>
    <mergeCell ref="T2:W2"/>
    <mergeCell ref="X2:AA2"/>
    <mergeCell ref="AB2:AE2"/>
    <mergeCell ref="D2:G2"/>
    <mergeCell ref="P2:S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23"/>
  <sheetViews>
    <sheetView tabSelected="1" workbookViewId="0">
      <selection activeCell="H9" sqref="H9"/>
    </sheetView>
  </sheetViews>
  <sheetFormatPr baseColWidth="10" defaultColWidth="14.42578125" defaultRowHeight="15" customHeight="1"/>
  <cols>
    <col width="10.7109375" customWidth="1" min="1" max="1"/>
    <col width="23" customWidth="1" min="2" max="2"/>
    <col width="10.7109375" customWidth="1" min="3" max="3"/>
    <col width="16.140625" customWidth="1" min="4" max="4"/>
    <col width="13" customWidth="1" min="5" max="5"/>
    <col width="10.7109375" customWidth="1" min="6" max="6"/>
    <col width="22.7109375" customWidth="1" min="7" max="8"/>
    <col width="10.7109375" customWidth="1" min="9" max="10"/>
    <col width="22.7109375" customWidth="1" min="11" max="11"/>
    <col width="10.7109375" customWidth="1" min="12" max="13"/>
    <col width="15.42578125" customWidth="1" min="14" max="14"/>
    <col width="18.7109375" customWidth="1" min="15" max="15"/>
    <col width="10.7109375" customWidth="1" min="16" max="16"/>
    <col width="23.42578125" customWidth="1" min="17" max="17"/>
    <col width="21.85546875" customWidth="1" min="18" max="18"/>
    <col width="22.7109375" customWidth="1" min="19" max="19"/>
    <col width="23.28515625" customWidth="1" min="20" max="20"/>
    <col width="10.7109375" customWidth="1" min="21" max="26"/>
  </cols>
  <sheetData>
    <row r="1" ht="14.25" customHeight="1" thickBot="1"/>
    <row r="2" ht="14.25" customHeight="1" thickBot="1">
      <c r="B2" s="125" t="inlineStr">
        <is>
          <t xml:space="preserve">Costos de Hardware </t>
        </is>
      </c>
      <c r="C2" s="126" t="n"/>
      <c r="D2" s="126" t="n"/>
      <c r="E2" s="127" t="n"/>
      <c r="G2" s="128" t="inlineStr">
        <is>
          <t>Costos de Software</t>
        </is>
      </c>
      <c r="H2" s="129" t="n"/>
      <c r="I2" s="130" t="n"/>
      <c r="K2" s="131" t="inlineStr">
        <is>
          <t>Costos de Recurso Humano (estimado por 4 meses de desarrollo)</t>
        </is>
      </c>
      <c r="L2" s="121" t="n"/>
      <c r="M2" s="121" t="n"/>
      <c r="N2" s="121" t="n"/>
      <c r="O2" s="119" t="n"/>
      <c r="Q2" s="132" t="inlineStr">
        <is>
          <t>opciones de los pc para el equipo de desarrollo</t>
        </is>
      </c>
      <c r="R2" s="121" t="n"/>
      <c r="S2" s="121" t="n"/>
      <c r="T2" s="119" t="n"/>
    </row>
    <row r="3" ht="57.75" customHeight="1" thickBot="1">
      <c r="B3" s="95" t="n"/>
      <c r="C3" s="96" t="inlineStr">
        <is>
          <t>Cantidad</t>
        </is>
      </c>
      <c r="D3" s="96" t="inlineStr">
        <is>
          <t>Precio unitario (COP)</t>
        </is>
      </c>
      <c r="E3" s="97" t="inlineStr">
        <is>
          <t>Subtotal (COP)</t>
        </is>
      </c>
      <c r="G3" s="110" t="inlineStr">
        <is>
          <t>Herramienta</t>
        </is>
      </c>
      <c r="H3" s="111" t="inlineStr">
        <is>
          <t>Tipo</t>
        </is>
      </c>
      <c r="I3" s="112" t="inlineStr">
        <is>
          <t>Costo estimado</t>
        </is>
      </c>
      <c r="K3" s="24" t="inlineStr">
        <is>
          <t>Rol</t>
        </is>
      </c>
      <c r="L3" s="23" t="inlineStr">
        <is>
          <t>Cantidad</t>
        </is>
      </c>
      <c r="M3" s="23" t="inlineStr">
        <is>
          <t>Tiempo (meses)</t>
        </is>
      </c>
      <c r="N3" s="23" t="inlineStr">
        <is>
          <t>Costo mensual aprox. (COP)</t>
        </is>
      </c>
      <c r="O3" s="25" t="inlineStr">
        <is>
          <t>Subtotal (COP)</t>
        </is>
      </c>
      <c r="Q3" s="26" t="inlineStr">
        <is>
          <t>Característica</t>
        </is>
      </c>
      <c r="R3" s="26" t="inlineStr">
        <is>
          <t xml:space="preserve">Opción 1: Gama de entrada </t>
        </is>
      </c>
      <c r="S3" s="26" t="inlineStr">
        <is>
          <t xml:space="preserve">Opción 2: Gama media </t>
        </is>
      </c>
      <c r="T3" s="26" t="inlineStr">
        <is>
          <t xml:space="preserve">Opción 3: Gama alta </t>
        </is>
      </c>
    </row>
    <row r="4" ht="14.25" customHeight="1" thickBot="1">
      <c r="B4" s="98" t="inlineStr">
        <is>
          <t>ESP32 (WiFi + Bluetooth)</t>
        </is>
      </c>
      <c r="C4" s="31" t="n">
        <v>1</v>
      </c>
      <c r="D4" s="133" t="n">
        <v>24000</v>
      </c>
      <c r="E4" s="134">
        <f>C4 * D4</f>
        <v/>
      </c>
      <c r="G4" s="115" t="inlineStr">
        <is>
          <t>Arduino IDE</t>
        </is>
      </c>
      <c r="H4" s="116" t="inlineStr">
        <is>
          <t>Libre</t>
        </is>
      </c>
      <c r="I4" s="135" t="n">
        <v>0</v>
      </c>
      <c r="K4" s="27" t="inlineStr">
        <is>
          <t>lider</t>
        </is>
      </c>
      <c r="L4" s="31" t="n">
        <v>1</v>
      </c>
      <c r="M4" s="31" t="n">
        <v>7</v>
      </c>
      <c r="N4" s="136" t="n">
        <v>2000000</v>
      </c>
      <c r="O4" s="137">
        <f>(M4*N4)*L4</f>
        <v/>
      </c>
      <c r="Q4" s="33" t="inlineStr">
        <is>
          <t>Rango de precios (COP)</t>
        </is>
      </c>
      <c r="R4" s="34" t="inlineStr">
        <is>
          <t>$2.000.000 – $3.500.000</t>
        </is>
      </c>
      <c r="S4" s="34" t="inlineStr">
        <is>
          <t>$3.500.000 – $6.000.000</t>
        </is>
      </c>
      <c r="T4" s="34" t="inlineStr">
        <is>
          <t>$8.000.000 – $15.000.000+</t>
        </is>
      </c>
    </row>
    <row r="5" ht="43.5" customHeight="1" thickBot="1">
      <c r="B5" s="100" t="inlineStr">
        <is>
          <t>Medidor de electricidad digital Peacefair PZEM-004T-100A (Sensor)</t>
        </is>
      </c>
      <c r="C5" s="31" t="n">
        <v>1</v>
      </c>
      <c r="D5" s="133" t="n">
        <v>70000</v>
      </c>
      <c r="E5" s="134">
        <f>C5 * D5</f>
        <v/>
      </c>
      <c r="G5" s="113" t="inlineStr">
        <is>
          <t>Visual Studio Code</t>
        </is>
      </c>
      <c r="H5" s="114" t="inlineStr">
        <is>
          <t>Libre</t>
        </is>
      </c>
      <c r="I5" s="135" t="n">
        <v>0</v>
      </c>
      <c r="K5" s="27" t="inlineStr">
        <is>
          <t>Desarrollador de software</t>
        </is>
      </c>
      <c r="L5" s="31" t="n">
        <v>1</v>
      </c>
      <c r="M5" s="31" t="n">
        <v>7</v>
      </c>
      <c r="N5" s="138" t="n">
        <v>2500000</v>
      </c>
      <c r="O5" s="137">
        <f>(M5*N5)*L5</f>
        <v/>
      </c>
      <c r="Q5" s="33" t="inlineStr">
        <is>
          <t>Procesador (CPU)</t>
        </is>
      </c>
      <c r="R5" s="34" t="inlineStr">
        <is>
          <t>Intel Core i5 / AMD Ryzen 5</t>
        </is>
      </c>
      <c r="S5" s="34" t="inlineStr">
        <is>
          <t>Intel Core i7 / AMD Ryzen 7</t>
        </is>
      </c>
      <c r="T5" s="34" t="inlineStr">
        <is>
          <t>Intel Core i9 / AMD Ryzen 9</t>
        </is>
      </c>
    </row>
    <row r="6" ht="39.75" customHeight="1" thickBot="1">
      <c r="B6" s="98" t="inlineStr">
        <is>
          <t>Fuente de alimentación Ac-dc 3.3v Hlk-pm03</t>
        </is>
      </c>
      <c r="C6" s="31" t="n">
        <v>1</v>
      </c>
      <c r="D6" s="133" t="n">
        <v>20000</v>
      </c>
      <c r="E6" s="134">
        <f>C6 * D6</f>
        <v/>
      </c>
      <c r="F6" s="67" t="n"/>
      <c r="G6" s="108" t="inlineStr">
        <is>
          <t>Firebase</t>
        </is>
      </c>
      <c r="H6" s="109" t="inlineStr">
        <is>
          <t>Gratis</t>
        </is>
      </c>
      <c r="I6" s="135" t="n">
        <v>0</v>
      </c>
      <c r="K6" s="27" t="inlineStr">
        <is>
          <t>gestor de bases de datos</t>
        </is>
      </c>
      <c r="L6" s="31" t="n">
        <v>1</v>
      </c>
      <c r="M6" s="38" t="n">
        <v>4</v>
      </c>
      <c r="N6" s="139" t="n">
        <v>1200000</v>
      </c>
      <c r="O6" s="137">
        <f>(M6*N6)*L6</f>
        <v/>
      </c>
      <c r="Q6" s="33" t="inlineStr">
        <is>
          <t>Memoria RAM</t>
        </is>
      </c>
      <c r="R6" s="34" t="inlineStr">
        <is>
          <t>16 GB DDR4</t>
        </is>
      </c>
      <c r="S6" s="34" t="inlineStr">
        <is>
          <t>32 GB DDR4</t>
        </is>
      </c>
      <c r="T6" s="34" t="inlineStr">
        <is>
          <t>64 GB DDR4/DDR5</t>
        </is>
      </c>
    </row>
    <row r="7" ht="30.75" customHeight="1" thickBot="1">
      <c r="B7" s="98" t="inlineStr">
        <is>
          <t>Cables Jumpers Macho Macho 20 cm</t>
        </is>
      </c>
      <c r="C7" s="30" t="n">
        <v>40</v>
      </c>
      <c r="D7" s="133" t="n">
        <v>300</v>
      </c>
      <c r="E7" s="134">
        <f>C7 * D7</f>
        <v/>
      </c>
      <c r="F7" s="67" t="n"/>
      <c r="G7" s="56" t="n"/>
      <c r="H7" s="57" t="n"/>
      <c r="I7" s="140" t="n"/>
      <c r="K7" s="27" t="inlineStr">
        <is>
          <t>analista</t>
        </is>
      </c>
      <c r="L7" s="31" t="n">
        <v>1</v>
      </c>
      <c r="M7" s="38" t="n">
        <v>7</v>
      </c>
      <c r="N7" s="139" t="n">
        <v>1800000</v>
      </c>
      <c r="O7" s="137">
        <f>(M7*N7)*L7</f>
        <v/>
      </c>
      <c r="Q7" s="33" t="inlineStr">
        <is>
          <t>Almacenamiento</t>
        </is>
      </c>
      <c r="R7" s="34" t="inlineStr">
        <is>
          <t>512 GB SSD (SATA/NVMe)</t>
        </is>
      </c>
      <c r="S7" s="34" t="inlineStr">
        <is>
          <t>1 TB SSD</t>
        </is>
      </c>
      <c r="T7" s="34" t="inlineStr">
        <is>
          <t>2 TB SSD NVMe</t>
        </is>
      </c>
    </row>
    <row r="8" ht="33.75" customHeight="1" thickBot="1">
      <c r="B8" s="100" t="inlineStr">
        <is>
          <t>Cables Jumpers Macho Hembra 20 cm</t>
        </is>
      </c>
      <c r="C8" s="30" t="n">
        <v>40</v>
      </c>
      <c r="D8" s="133" t="n">
        <v>300</v>
      </c>
      <c r="E8" s="134">
        <f>C8 * D8</f>
        <v/>
      </c>
      <c r="K8" s="27" t="inlineStr">
        <is>
          <t>Total recurso humano</t>
        </is>
      </c>
      <c r="L8" s="30" t="inlineStr">
        <is>
          <t>–</t>
        </is>
      </c>
      <c r="M8" s="30" t="inlineStr">
        <is>
          <t>–</t>
        </is>
      </c>
      <c r="N8" s="39" t="inlineStr">
        <is>
          <t>–</t>
        </is>
      </c>
      <c r="O8" s="141">
        <f>SUM(O4:O7)</f>
        <v/>
      </c>
      <c r="Q8" s="33" t="inlineStr">
        <is>
          <t>Tarjeta gráfica (GPU)</t>
        </is>
      </c>
      <c r="R8" s="34" t="inlineStr">
        <is>
          <t>Integrada</t>
        </is>
      </c>
      <c r="S8" s="34" t="inlineStr">
        <is>
          <t>Integrada o dedicada de gama baja (RTX 3050 / RX 6600)</t>
        </is>
      </c>
      <c r="T8" s="34" t="inlineStr">
        <is>
          <t>Dedicada de gama alta (RTX 4080 o superior)</t>
        </is>
      </c>
    </row>
    <row r="9" ht="60" customHeight="1" thickBot="1">
      <c r="B9" s="101" t="inlineStr">
        <is>
          <t>Cable eléctrico encauchetado de 2x14 AWG</t>
        </is>
      </c>
      <c r="C9" s="102" t="n">
        <v>3</v>
      </c>
      <c r="D9" s="142" t="n">
        <v>3333</v>
      </c>
      <c r="E9" s="143">
        <f>C9 * D9</f>
        <v/>
      </c>
      <c r="K9" s="56" t="n"/>
      <c r="L9" s="57" t="n"/>
      <c r="M9" s="57" t="n"/>
      <c r="N9" s="57" t="n"/>
      <c r="O9" s="144" t="n"/>
      <c r="Q9" s="61" t="inlineStr">
        <is>
          <t>Justificación de costos</t>
        </is>
      </c>
      <c r="R9" s="62" t="inlineStr">
        <is>
          <t>Componentes accesibles y estándar. No requiere GPU dedicada.</t>
        </is>
      </c>
      <c r="S9" s="62" t="inlineStr">
        <is>
          <t>Mayor RAM, CPU más potente, almacenamiento ampliado. Posible inclusión de GPU de gama baja.</t>
        </is>
      </c>
      <c r="T9" s="62" t="inlineStr">
        <is>
          <t>Componentes premium: CPU extremo, RAM de gran capacidad, SSD NVMe grande y GPU de última generación.</t>
        </is>
      </c>
    </row>
    <row r="10" ht="53.25" customHeight="1" thickBot="1">
      <c r="B10" s="55" t="inlineStr">
        <is>
          <t>Cable calibre 14 rojo y negro</t>
        </is>
      </c>
      <c r="C10" s="30" t="n">
        <v>1</v>
      </c>
      <c r="D10" s="133" t="n">
        <v>2400</v>
      </c>
      <c r="E10" s="145">
        <f>C10 * D10</f>
        <v/>
      </c>
      <c r="K10" s="56" t="n"/>
      <c r="L10" s="57" t="n"/>
      <c r="M10" s="57" t="n"/>
      <c r="N10" s="57" t="n"/>
      <c r="O10" s="144" t="n"/>
      <c r="Q10" s="61" t="inlineStr">
        <is>
          <t>Ejemplos de referencia</t>
        </is>
      </c>
      <c r="R10" s="62" t="inlineStr">
        <is>
          <t>Clones y Periféricos, Mercado Libre, Todo Tintas y Suministros</t>
        </is>
      </c>
      <c r="S10" s="62" t="inlineStr">
        <is>
          <t>Falabella, Mercado Libre, PC Ware Colombia</t>
        </is>
      </c>
      <c r="T10" s="62" t="inlineStr">
        <is>
          <t>Componentes premium: CPU extremo, RAM de gran capacidad, SSD NVMe grande y GPU de última generación.</t>
        </is>
      </c>
    </row>
    <row r="11" ht="53.25" customHeight="1" thickBot="1">
      <c r="B11" s="55" t="inlineStr">
        <is>
          <t>Conector Jst Macho-Hembra Xh2.54 Xh2.54mm 4</t>
        </is>
      </c>
      <c r="C11" s="30" t="n">
        <v>1</v>
      </c>
      <c r="D11" s="133" t="n">
        <v>1300</v>
      </c>
      <c r="E11" s="145">
        <f>C11 * D11</f>
        <v/>
      </c>
      <c r="K11" s="56" t="n"/>
      <c r="L11" s="57" t="n"/>
      <c r="M11" s="57" t="n"/>
      <c r="N11" s="57" t="n"/>
      <c r="O11" s="144" t="n"/>
      <c r="Q11" s="63" t="n"/>
      <c r="R11" s="88" t="n"/>
      <c r="S11" s="89" t="n"/>
      <c r="T11" s="90" t="n"/>
    </row>
    <row r="12" ht="59.25" customHeight="1" thickBot="1">
      <c r="B12" s="55" t="inlineStr">
        <is>
          <t>Cables Jumpers Hembra Hembra 20 cm</t>
        </is>
      </c>
      <c r="C12" s="30" t="n">
        <v>6</v>
      </c>
      <c r="D12" s="133" t="n">
        <v>383</v>
      </c>
      <c r="E12" s="145">
        <f>C12 * D12</f>
        <v/>
      </c>
      <c r="K12" s="56" t="n"/>
      <c r="L12" s="57" t="n"/>
      <c r="M12" s="57" t="n"/>
      <c r="N12" s="57" t="n"/>
      <c r="O12" s="144" t="n"/>
      <c r="Q12" s="63" t="inlineStr">
        <is>
          <t>opcion elegida</t>
        </is>
      </c>
      <c r="R12" s="146" t="inlineStr">
        <is>
          <t>la opción de gama media es la más adecuada porque ofrece un equilibrio entre rendimiento, capacidad de expansión y costo, garantizando que el proyecto de monitoreo eléctrico pueda desarrollarse de manera eficiente y con proyección a futuro.</t>
        </is>
      </c>
      <c r="S12" s="147" t="n"/>
      <c r="T12" s="148" t="n"/>
    </row>
    <row r="13" ht="14.25" customHeight="1" thickBot="1">
      <c r="B13" s="27" t="inlineStr">
        <is>
          <t>Caja o carcasa plástica (prototipo)</t>
        </is>
      </c>
      <c r="C13" s="31" t="n">
        <v>1</v>
      </c>
      <c r="D13" s="133" t="n">
        <v>20000</v>
      </c>
      <c r="E13" s="145">
        <f>C13 * D13</f>
        <v/>
      </c>
      <c r="Q13" s="77" t="inlineStr">
        <is>
          <t>total</t>
        </is>
      </c>
      <c r="R13" s="149" t="n">
        <v>7000000</v>
      </c>
      <c r="S13" s="150" t="n"/>
      <c r="T13" s="151" t="n"/>
    </row>
    <row r="14" ht="32.25" customHeight="1" thickBot="1">
      <c r="B14" s="40" t="inlineStr">
        <is>
          <t>costos pc del equipo de desarrollo</t>
        </is>
      </c>
      <c r="C14" s="41" t="n">
        <v>2</v>
      </c>
      <c r="D14" s="152" t="n">
        <v>3500000</v>
      </c>
      <c r="E14" s="145">
        <f>C14 * D14</f>
        <v/>
      </c>
      <c r="Q14" s="68" t="n"/>
      <c r="R14" s="69" t="n"/>
      <c r="S14" s="69" t="n"/>
      <c r="T14" s="70" t="n"/>
    </row>
    <row r="15" ht="53.25" customHeight="1" thickBot="1">
      <c r="B15" s="33" t="inlineStr">
        <is>
          <t>costos cel del equipo de desarrollo</t>
        </is>
      </c>
      <c r="C15" s="87" t="n">
        <v>2</v>
      </c>
      <c r="D15" s="153" t="n">
        <v>450000</v>
      </c>
      <c r="E15" s="145">
        <f>C15 * D15</f>
        <v/>
      </c>
      <c r="Q15" s="71" t="n"/>
      <c r="R15" s="69" t="n"/>
      <c r="S15" s="72" t="n"/>
      <c r="T15" s="72" t="n"/>
    </row>
    <row r="16" ht="14.25" customHeight="1" thickBot="1">
      <c r="B16" s="27" t="inlineStr">
        <is>
          <t>Total aproximado hardware</t>
        </is>
      </c>
      <c r="C16" s="30" t="inlineStr">
        <is>
          <t>–</t>
        </is>
      </c>
      <c r="D16" s="30" t="inlineStr">
        <is>
          <t>–</t>
        </is>
      </c>
      <c r="E16" s="154">
        <f>SUM(E4:E15)</f>
        <v/>
      </c>
      <c r="Q16" s="68" t="n"/>
      <c r="R16" s="73" t="n"/>
      <c r="S16" s="67" t="n"/>
      <c r="T16" s="67" t="n"/>
    </row>
    <row r="17" ht="14.25" customHeight="1">
      <c r="Q17" s="67" t="n"/>
      <c r="R17" s="67" t="n"/>
      <c r="S17" s="67" t="n"/>
      <c r="T17" s="67" t="n"/>
    </row>
    <row r="18" ht="14.25" customHeight="1">
      <c r="Q18" s="155" t="inlineStr">
        <is>
          <t>opcion de celular para desarrolladores</t>
        </is>
      </c>
      <c r="R18" s="156" t="n"/>
      <c r="S18" s="157" t="n"/>
      <c r="T18" s="67" t="n"/>
    </row>
    <row r="19" ht="14.25" customHeight="1">
      <c r="Q19" s="26" t="inlineStr">
        <is>
          <t>Modelo</t>
        </is>
      </c>
      <c r="R19" s="26" t="inlineStr">
        <is>
          <t>Rango de precio (COP)</t>
        </is>
      </c>
      <c r="S19" s="26" t="inlineStr">
        <is>
          <t>Fuente/Referencia</t>
        </is>
      </c>
    </row>
    <row r="20" ht="14.25" customHeight="1">
      <c r="Q20" s="33" t="inlineStr">
        <is>
          <t>Xiaomi Redmi 13</t>
        </is>
      </c>
      <c r="R20" s="34" t="inlineStr">
        <is>
          <t>$450.000 – $700.000</t>
        </is>
      </c>
      <c r="S20" s="34" t="inlineStr">
        <is>
          <t>Mercado Libre y otras tiendas en línea</t>
        </is>
      </c>
    </row>
    <row r="21" ht="14.25" customHeight="1">
      <c r="Q21" s="33" t="inlineStr">
        <is>
          <t>Samsung Galaxy A55</t>
        </is>
      </c>
      <c r="R21" s="34" t="inlineStr">
        <is>
          <t>$1.600.000 – $2.200.000</t>
        </is>
      </c>
      <c r="S21" s="34" t="inlineStr">
        <is>
          <t>Tiendas oficiales de operadores y minoristas (Mercado Libre, Movistar)</t>
        </is>
      </c>
    </row>
    <row r="22" ht="14.25" customHeight="1">
      <c r="Q22" s="42" t="inlineStr">
        <is>
          <t>opcion elegida</t>
        </is>
      </c>
      <c r="R22" s="158" t="inlineStr">
        <is>
          <t>el Xiaomi Redmi 13 es la mejor elección porque combina bajo costo, compatibilidad tecnológica y accesibilidad en el mercado, cumpliendo con los requerimientos del proyecto sin generar gastos excesivos.</t>
        </is>
      </c>
      <c r="S22" s="148" t="n"/>
      <c r="W22" s="79" t="n"/>
    </row>
    <row r="23" ht="69" customHeight="1">
      <c r="Q23" s="80" t="inlineStr">
        <is>
          <t>total</t>
        </is>
      </c>
      <c r="R23" s="159" t="n">
        <v>900000</v>
      </c>
      <c r="S23" s="151" t="n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9">
    <mergeCell ref="G2:I2"/>
    <mergeCell ref="Q18:S18"/>
    <mergeCell ref="K2:O2"/>
    <mergeCell ref="R12:T12"/>
    <mergeCell ref="R13:T13"/>
    <mergeCell ref="B2:E2"/>
    <mergeCell ref="Q2:T2"/>
    <mergeCell ref="R23:S23"/>
    <mergeCell ref="R22:S2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selection activeCell="A1" sqref="A1"/>
    </sheetView>
  </sheetViews>
  <sheetFormatPr baseColWidth="10" defaultColWidth="14.42578125" defaultRowHeight="15" customHeight="1"/>
  <cols>
    <col width="10.7109375" customWidth="1" min="1" max="1"/>
    <col width="11.5703125" customWidth="1" min="2" max="2"/>
    <col width="21.28515625" customWidth="1" min="3" max="3"/>
    <col width="22.85546875" customWidth="1" min="4" max="4"/>
    <col width="10.7109375" customWidth="1" min="5" max="5"/>
    <col width="23.42578125" customWidth="1" min="6" max="6"/>
    <col width="22.85546875" customWidth="1" min="7" max="7"/>
    <col width="23.28515625" customWidth="1" min="8" max="8"/>
    <col width="10.7109375" customWidth="1" min="9" max="26"/>
  </cols>
  <sheetData>
    <row r="1" ht="14.25" customHeight="1"/>
    <row r="2" ht="14.25" customHeight="1">
      <c r="B2" s="132" t="inlineStr">
        <is>
          <t>Celulares para Usuarios</t>
        </is>
      </c>
      <c r="C2" s="121" t="n"/>
      <c r="D2" s="119" t="n"/>
      <c r="F2" s="160" t="inlineStr">
        <is>
          <t>Laptops para Usuarios</t>
        </is>
      </c>
      <c r="G2" s="121" t="n"/>
      <c r="H2" s="119" t="n"/>
    </row>
    <row r="3" ht="14.25" customHeight="1">
      <c r="B3" s="26" t="inlineStr">
        <is>
          <t>Modelo</t>
        </is>
      </c>
      <c r="C3" s="26" t="inlineStr">
        <is>
          <t>Rango de precio (COP)</t>
        </is>
      </c>
      <c r="D3" s="26" t="inlineStr">
        <is>
          <t>Fuente/Referencia</t>
        </is>
      </c>
      <c r="F3" s="26" t="inlineStr">
        <is>
          <t>Modelo</t>
        </is>
      </c>
      <c r="G3" s="26" t="inlineStr">
        <is>
          <t>Rango de precio (COP)</t>
        </is>
      </c>
      <c r="H3" s="26" t="inlineStr">
        <is>
          <t>Fuente/Referencia</t>
        </is>
      </c>
    </row>
    <row r="4" ht="14.25" customHeight="1">
      <c r="B4" s="33" t="inlineStr">
        <is>
          <t>Xiaomi Redmi 13</t>
        </is>
      </c>
      <c r="C4" s="34" t="inlineStr">
        <is>
          <t>$450.000 – $700.000</t>
        </is>
      </c>
      <c r="D4" s="34" t="inlineStr">
        <is>
          <t>Mercado Libre y otras tiendas en línea</t>
        </is>
      </c>
      <c r="F4" s="33" t="inlineStr">
        <is>
          <t>HP 240 G9 (Core i5, 8 GB RAM, 512 GB SSD)</t>
        </is>
      </c>
      <c r="G4" s="34" t="inlineStr">
        <is>
          <t>$2.500.000 – $2.900.000</t>
        </is>
      </c>
      <c r="H4" s="34" t="inlineStr">
        <is>
          <t>HP Store Colombia, Mercado Libre</t>
        </is>
      </c>
    </row>
    <row r="5" ht="14.25" customHeight="1">
      <c r="B5" s="33" t="inlineStr">
        <is>
          <t>Samsung Galaxy A55</t>
        </is>
      </c>
      <c r="C5" s="34" t="inlineStr">
        <is>
          <t>$1.600.000 – $2.200.000</t>
        </is>
      </c>
      <c r="D5" s="34" t="inlineStr">
        <is>
          <t>Tiendas oficiales de operadores y minoristas (Mercado Libre, Movistar)</t>
        </is>
      </c>
      <c r="F5" s="33" t="inlineStr">
        <is>
          <t>Dell Inspiron 15 (Core i5, 8 GB RAM)</t>
        </is>
      </c>
      <c r="G5" s="34" t="inlineStr">
        <is>
          <t>$1.800.000 – $2.500.000</t>
        </is>
      </c>
      <c r="H5" s="34" t="inlineStr">
        <is>
          <t>Dell.es (referencia), Mercado Libre</t>
        </is>
      </c>
    </row>
    <row r="6" ht="14.25" customHeight="1">
      <c r="B6" s="33" t="n"/>
      <c r="C6" s="34" t="n"/>
      <c r="D6" s="34" t="n"/>
      <c r="F6" s="33" t="inlineStr">
        <is>
          <t>Apple MacBook Air M2 (8 GB RAM, 256 GB SSD)</t>
        </is>
      </c>
      <c r="G6" s="34" t="inlineStr">
        <is>
          <t>$4.000.000 – $4.500.000</t>
        </is>
      </c>
      <c r="H6" s="34" t="inlineStr">
        <is>
          <t>Éxito, Mercado Libre</t>
        </is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F2:H2"/>
    <mergeCell ref="B2:D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juan david cabrera caballero</dc:creator>
  <dcterms:created xmlns:dcterms="http://purl.org/dc/terms/" xmlns:xsi="http://www.w3.org/2001/XMLSchema-instance" xsi:type="dcterms:W3CDTF">2025-09-01T14:21:14Z</dcterms:created>
  <dcterms:modified xmlns:dcterms="http://purl.org/dc/terms/" xmlns:xsi="http://www.w3.org/2001/XMLSchema-instance" xsi:type="dcterms:W3CDTF">2026-10-10T02:35:30Z</dcterms:modified>
  <cp:lastModifiedBy>Tuabuela 77</cp:lastModifiedBy>
</cp:coreProperties>
</file>