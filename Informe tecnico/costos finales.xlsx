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Sena\Monitor-de-consumo\Documentacion-proyecto-Monitor-de-consumo-electrico\Informe tecnico\"/>
    </mc:Choice>
  </mc:AlternateContent>
  <bookViews>
    <workbookView xWindow="0" yWindow="0" windowWidth="20490" windowHeight="7650" firstSheet="1" activeTab="2"/>
  </bookViews>
  <sheets>
    <sheet name="1.Resumen" sheetId="1" r:id="rId1"/>
    <sheet name="5.Diagrama de gantt" sheetId="2" r:id="rId2"/>
    <sheet name="costos del equipo de trabajo" sheetId="3" r:id="rId3"/>
    <sheet name="costos estimados para usuarios" sheetId="4" r:id="rId4"/>
  </sheets>
  <calcPr calcId="162913"/>
  <extLst>
    <ext uri="GoogleSheetsCustomDataVersion2">
      <go:sheetsCustomData xmlns:go="http://customooxmlschemas.google.com/" r:id="rId8" roundtripDataChecksum="Pz3iwk33jnOiIPCKBtoSzWvzhcyR2oF1QmG3ZwfGeKY="/>
    </ext>
  </extLst>
</workbook>
</file>

<file path=xl/calcChain.xml><?xml version="1.0" encoding="utf-8"?>
<calcChain xmlns="http://schemas.openxmlformats.org/spreadsheetml/2006/main">
  <c r="E11" i="3" l="1"/>
  <c r="E12" i="3"/>
  <c r="E5" i="3"/>
  <c r="E6" i="3"/>
  <c r="E7" i="3"/>
  <c r="E8" i="3"/>
  <c r="E9" i="3"/>
  <c r="E10" i="3"/>
  <c r="E13" i="3"/>
  <c r="E14" i="3"/>
  <c r="E15" i="3"/>
  <c r="O5" i="3"/>
  <c r="O6" i="3"/>
  <c r="O7" i="3"/>
  <c r="O8" i="3"/>
  <c r="O4" i="3"/>
  <c r="E4" i="3"/>
  <c r="E16" i="3" l="1"/>
  <c r="C4" i="1" s="1"/>
  <c r="C6" i="1"/>
  <c r="C5" i="1"/>
  <c r="C8" i="1" l="1"/>
</calcChain>
</file>

<file path=xl/sharedStrings.xml><?xml version="1.0" encoding="utf-8"?>
<sst xmlns="http://schemas.openxmlformats.org/spreadsheetml/2006/main" count="162" uniqueCount="136">
  <si>
    <t>Resumen Ejecutivo Ppto</t>
  </si>
  <si>
    <t>ITEM</t>
  </si>
  <si>
    <t>COSTOS</t>
  </si>
  <si>
    <t>Hardware</t>
  </si>
  <si>
    <t>Software</t>
  </si>
  <si>
    <t>Rec. Humano</t>
  </si>
  <si>
    <t>Otros</t>
  </si>
  <si>
    <t>ENERO</t>
  </si>
  <si>
    <t>FEBRERO</t>
  </si>
  <si>
    <t>MARZO</t>
  </si>
  <si>
    <t>ABRIL</t>
  </si>
  <si>
    <t>MAYO</t>
  </si>
  <si>
    <t>JUNIO</t>
  </si>
  <si>
    <t>JULIO</t>
  </si>
  <si>
    <t>Analsis</t>
  </si>
  <si>
    <t>Elicitación</t>
  </si>
  <si>
    <t>Análisis</t>
  </si>
  <si>
    <t>Informe de analisis (SRS)</t>
  </si>
  <si>
    <t>Validación de requerimientos</t>
  </si>
  <si>
    <t>Planeación</t>
  </si>
  <si>
    <t>Crear arquitectura</t>
  </si>
  <si>
    <t>Seleccionar tecnologias</t>
  </si>
  <si>
    <t>Disgramas UML</t>
  </si>
  <si>
    <t>Diseñar la UI de la app y Informe de diseño</t>
  </si>
  <si>
    <t>Desarrollo</t>
  </si>
  <si>
    <t>Configuración de entorno</t>
  </si>
  <si>
    <t>Desarrollo de prototipo físico (HW)</t>
  </si>
  <si>
    <t>Desarrollo de backend (API / lógica de negocio)</t>
  </si>
  <si>
    <t>Desarrollo de frontend / app móvil</t>
  </si>
  <si>
    <t>Integración HW–SW</t>
  </si>
  <si>
    <t>Documentación técnica</t>
  </si>
  <si>
    <t>IMPLEMENTACION</t>
  </si>
  <si>
    <t>Pruebas unitarias</t>
  </si>
  <si>
    <t>Pruebas de integración</t>
  </si>
  <si>
    <t>Pruebas con usuarios finales</t>
  </si>
  <si>
    <t>Corrección de errores</t>
  </si>
  <si>
    <t>EVALUACION</t>
  </si>
  <si>
    <t>Evaluación de desempeño del prototipo</t>
  </si>
  <si>
    <t>Informe final de evaluación</t>
  </si>
  <si>
    <t>Presentación y cierre del proyecto</t>
  </si>
  <si>
    <t xml:space="preserve">Costos de Hardware </t>
  </si>
  <si>
    <t>Costos de Software</t>
  </si>
  <si>
    <t>Costos de Recurso Humano (estimado por 4 meses de desarrollo)</t>
  </si>
  <si>
    <t>opciones de los pc para el equipo de desarrollo</t>
  </si>
  <si>
    <t>Cantidad</t>
  </si>
  <si>
    <t>Precio unitario (COP)</t>
  </si>
  <si>
    <t>Subtotal (COP)</t>
  </si>
  <si>
    <t>Herramienta</t>
  </si>
  <si>
    <t>Tipo</t>
  </si>
  <si>
    <t>Costo estimado</t>
  </si>
  <si>
    <t>Rol</t>
  </si>
  <si>
    <t>Tiempo (meses)</t>
  </si>
  <si>
    <t>Costo mensual aprox. (COP)</t>
  </si>
  <si>
    <t>Característica</t>
  </si>
  <si>
    <t xml:space="preserve">Opción 1: Gama de entrada </t>
  </si>
  <si>
    <t xml:space="preserve">Opción 2: Gama media </t>
  </si>
  <si>
    <t xml:space="preserve">Opción 3: Gama alta </t>
  </si>
  <si>
    <t>ESP32 (WiFi + Bluetooth)</t>
  </si>
  <si>
    <t>Arduino IDE</t>
  </si>
  <si>
    <t>Libre</t>
  </si>
  <si>
    <t>lider</t>
  </si>
  <si>
    <t>Rango de precios (COP)</t>
  </si>
  <si>
    <t>$2.000.000 – $3.500.000</t>
  </si>
  <si>
    <t>$3.500.000 – $6.000.000</t>
  </si>
  <si>
    <t>$8.000.000 – $15.000.000+</t>
  </si>
  <si>
    <t>Visual Studio Code</t>
  </si>
  <si>
    <t>Desarrollador de software</t>
  </si>
  <si>
    <t>Procesador (CPU)</t>
  </si>
  <si>
    <t>Intel Core i5 / AMD Ryzen 5</t>
  </si>
  <si>
    <t>Intel Core i7 / AMD Ryzen 7</t>
  </si>
  <si>
    <t>Intel Core i9 / AMD Ryzen 9</t>
  </si>
  <si>
    <t>Firebase</t>
  </si>
  <si>
    <t>gestor de bases de datos</t>
  </si>
  <si>
    <t>Memoria RAM</t>
  </si>
  <si>
    <t>16 GB DDR4</t>
  </si>
  <si>
    <t>32 GB DDR4</t>
  </si>
  <si>
    <t>64 GB DDR4/DDR5</t>
  </si>
  <si>
    <t>analista</t>
  </si>
  <si>
    <t>Almacenamiento</t>
  </si>
  <si>
    <t>512 GB SSD (SATA/NVMe)</t>
  </si>
  <si>
    <t>1 TB SSD</t>
  </si>
  <si>
    <t>2 TB SSD NVMe</t>
  </si>
  <si>
    <t>Total recurso humano</t>
  </si>
  <si>
    <t>–</t>
  </si>
  <si>
    <t>Tarjeta gráfica (GPU)</t>
  </si>
  <si>
    <t>Integrada</t>
  </si>
  <si>
    <t>Integrada o dedicada de gama baja (RTX 3050 / RX 6600)</t>
  </si>
  <si>
    <t>Dedicada de gama alta (RTX 4080 o superior)</t>
  </si>
  <si>
    <t>Caja o carcasa plástica (prototipo)</t>
  </si>
  <si>
    <t>Justificación de costos</t>
  </si>
  <si>
    <t>Componentes accesibles y estándar. No requiere GPU dedicada.</t>
  </si>
  <si>
    <t>Mayor RAM, CPU más potente, almacenamiento ampliado. Posible inclusión de GPU de gama baja.</t>
  </si>
  <si>
    <t>Componentes premium: CPU extremo, RAM de gran capacidad, SSD NVMe grande y GPU de última generación.</t>
  </si>
  <si>
    <t>costos pc del equipo de desarrollo</t>
  </si>
  <si>
    <t>Ejemplos de referencia</t>
  </si>
  <si>
    <t>Clones y Periféricos, Mercado Libre, Todo Tintas y Suministros</t>
  </si>
  <si>
    <t>Falabella, Mercado Libre, PC Ware Colombia</t>
  </si>
  <si>
    <t>costos cel del equipo de desarrollo</t>
  </si>
  <si>
    <t>opcion elegida</t>
  </si>
  <si>
    <t>la opción de gama media es la más adecuada porque ofrece un equilibrio entre rendimiento, capacidad de expansión y costo, garantizando que el proyecto de monitoreo eléctrico pueda desarrollarse de manera eficiente y con proyección a futuro.</t>
  </si>
  <si>
    <t>Total aproximado hardware</t>
  </si>
  <si>
    <t>total</t>
  </si>
  <si>
    <t>opcion de celular para desarrolladores</t>
  </si>
  <si>
    <t>Modelo</t>
  </si>
  <si>
    <t>Rango de precio (COP)</t>
  </si>
  <si>
    <t>Fuente/Referencia</t>
  </si>
  <si>
    <t>Xiaomi Redmi 13</t>
  </si>
  <si>
    <t>$450.000 – $700.000</t>
  </si>
  <si>
    <t>Mercado Libre y otras tiendas en línea</t>
  </si>
  <si>
    <t>Samsung Galaxy A55</t>
  </si>
  <si>
    <t>$1.600.000 – $2.200.000</t>
  </si>
  <si>
    <t>Tiendas oficiales de operadores y minoristas (Mercado Libre, Movistar)</t>
  </si>
  <si>
    <t>Apple iPhone 15 Pro (128 GB)</t>
  </si>
  <si>
    <t>$4.500.000 – $5.000.000</t>
  </si>
  <si>
    <t>Principales distribuidores oficiales (Mercado Libre, Movistar)</t>
  </si>
  <si>
    <t>el Xiaomi Redmi 13 es la mejor elección porque combina bajo costo, compatibilidad tecnológica y accesibilidad en el mercado, cumpliendo con los requerimientos del proyecto sin generar gastos excesivos.</t>
  </si>
  <si>
    <t>Celulares para Usuarios</t>
  </si>
  <si>
    <t>Laptops para Usuarios</t>
  </si>
  <si>
    <r>
      <rPr>
        <b/>
        <sz val="11"/>
        <color theme="1"/>
        <rFont val="Calibri"/>
      </rPr>
      <t>HP 240 G9</t>
    </r>
    <r>
      <rPr>
        <sz val="11"/>
        <color theme="1"/>
        <rFont val="Calibri"/>
      </rPr>
      <t xml:space="preserve"> (Core i5, 8 GB RAM, 512 GB SSD)</t>
    </r>
  </si>
  <si>
    <t>$2.500.000 – $2.900.000</t>
  </si>
  <si>
    <t>HP Store Colombia, Mercado Libre</t>
  </si>
  <si>
    <r>
      <rPr>
        <b/>
        <sz val="11"/>
        <color theme="1"/>
        <rFont val="Calibri"/>
      </rPr>
      <t>Dell Inspiron 15</t>
    </r>
    <r>
      <rPr>
        <sz val="11"/>
        <color theme="1"/>
        <rFont val="Calibri"/>
      </rPr>
      <t xml:space="preserve"> (Core i5, 8 GB RAM)</t>
    </r>
  </si>
  <si>
    <t>$1.800.000 – $2.500.000</t>
  </si>
  <si>
    <t>Dell.es (referencia), Mercado Libre</t>
  </si>
  <si>
    <r>
      <rPr>
        <b/>
        <sz val="11"/>
        <color theme="1"/>
        <rFont val="Calibri"/>
      </rPr>
      <t>Apple MacBook Air M2</t>
    </r>
    <r>
      <rPr>
        <sz val="11"/>
        <color theme="1"/>
        <rFont val="Calibri"/>
      </rPr>
      <t xml:space="preserve"> (8 GB RAM, 256 GB SSD)</t>
    </r>
  </si>
  <si>
    <t>$4.000.000 – $4.500.000</t>
  </si>
  <si>
    <t>Éxito, Mercado Libre</t>
  </si>
  <si>
    <t>Fuente de alimentación Ac-dc 3.3v Hlk-pm03</t>
  </si>
  <si>
    <t>Cables Jumpers Macho Macho 20 cm</t>
  </si>
  <si>
    <t>Cables Jumpers Macho Hembra 20 cm</t>
  </si>
  <si>
    <t>Medidor de electricidad digital Peacefair PZEM-004T-100A (Sensor)</t>
  </si>
  <si>
    <t>Cable eléctrico encauchetado de 2x14 AWG</t>
  </si>
  <si>
    <t>Cables Jumpers Hembra Hembra 20 cm</t>
  </si>
  <si>
    <t>Cable calibre 14 rojo y negro</t>
  </si>
  <si>
    <t>Conector Jst Macho-Hembra Xh2.54 Xh2.54mm 4</t>
  </si>
  <si>
    <t>Gratis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</si>
</sst>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6" formatCode="&quot;$&quot;\ #,##0;[Red]\-&quot;$&quot;\ #,##0"/>
    <numFmt numFmtId="44" formatCode="_-&quot;$&quot;\ * #,##0.00_-;\-&quot;$&quot;\ * #,##0.00_-;_-&quot;$&quot;\ * &quot;-&quot;??_-;_-@_-"/>
    <numFmt numFmtId="164" formatCode="_-[$$-240A]\ * #,##0.00_-;\-[$$-240A]\ * #,##0.00_-;_-[$$-240A]\ * &quot;-&quot;??_-;_-@"/>
    <numFmt numFmtId="165" formatCode="_-&quot;$&quot;\ * #,##0.0_-;\-&quot;$&quot;\ * #,##0.0_-;_-&quot;$&quot;\ * &quot;-&quot;?_-;_-@"/>
    <numFmt numFmtId="166" formatCode="_-[$$-240A]\ * #,##0.00_-;\-[$$-240A]\ * #,##0.00_-;_-[$$-240A]\ * &quot;-&quot;??_-;_-@_-"/>
    <numFmt numFmtId="167" formatCode="&quot;$&quot;\ #,##0.00"/>
  </numFmts>
  <fonts count="15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name val="Calibri"/>
    </font>
    <font>
      <sz val="11"/>
      <color rgb="FF000000"/>
      <name val="Calibri"/>
    </font>
    <font>
      <b/>
      <sz val="18"/>
      <color theme="1"/>
      <name val="Calibri"/>
    </font>
    <font>
      <b/>
      <sz val="14"/>
      <color theme="1"/>
      <name val="Calibri"/>
    </font>
    <font>
      <b/>
      <sz val="14"/>
      <color theme="1"/>
      <name val="Aptos"/>
    </font>
    <font>
      <b/>
      <sz val="11"/>
      <color rgb="FF000000"/>
      <name val="Calibri"/>
    </font>
    <font>
      <b/>
      <sz val="11"/>
      <color theme="1"/>
      <name val="Calibri"/>
    </font>
    <font>
      <b/>
      <sz val="16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7030A0"/>
        <bgColor rgb="FF7030A0"/>
      </patternFill>
    </fill>
    <fill>
      <patternFill patternType="solid">
        <fgColor rgb="FF548135"/>
        <bgColor rgb="FF548135"/>
      </patternFill>
    </fill>
  </fills>
  <borders count="4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1" fillId="0" borderId="0" applyFont="0" applyFill="0" applyBorder="0" applyAlignment="0" applyProtection="0"/>
  </cellStyleXfs>
  <cellXfs count="118">
    <xf numFmtId="0" fontId="0" fillId="0" borderId="0" xfId="0" applyFont="1" applyAlignment="1"/>
    <xf numFmtId="0" fontId="2" fillId="2" borderId="3" xfId="0" applyFont="1" applyFill="1" applyBorder="1"/>
    <xf numFmtId="0" fontId="2" fillId="0" borderId="3" xfId="0" applyFont="1" applyBorder="1"/>
    <xf numFmtId="164" fontId="2" fillId="0" borderId="3" xfId="0" applyNumberFormat="1" applyFont="1" applyBorder="1" applyAlignment="1">
      <alignment horizontal="right"/>
    </xf>
    <xf numFmtId="165" fontId="2" fillId="0" borderId="3" xfId="0" applyNumberFormat="1" applyFont="1" applyBorder="1"/>
    <xf numFmtId="165" fontId="2" fillId="3" borderId="3" xfId="0" applyNumberFormat="1" applyFont="1" applyFill="1" applyBorder="1"/>
    <xf numFmtId="0" fontId="4" fillId="0" borderId="3" xfId="0" applyFont="1" applyBorder="1" applyAlignment="1">
      <alignment horizontal="right"/>
    </xf>
    <xf numFmtId="0" fontId="2" fillId="4" borderId="3" xfId="0" applyFont="1" applyFill="1" applyBorder="1"/>
    <xf numFmtId="0" fontId="4" fillId="4" borderId="3" xfId="0" applyFont="1" applyFill="1" applyBorder="1" applyAlignment="1"/>
    <xf numFmtId="0" fontId="4" fillId="0" borderId="3" xfId="0" applyFont="1" applyBorder="1" applyAlignment="1"/>
    <xf numFmtId="0" fontId="2" fillId="4" borderId="8" xfId="0" applyFont="1" applyFill="1" applyBorder="1"/>
    <xf numFmtId="0" fontId="2" fillId="5" borderId="3" xfId="0" applyFont="1" applyFill="1" applyBorder="1"/>
    <xf numFmtId="0" fontId="4" fillId="5" borderId="3" xfId="0" applyFont="1" applyFill="1" applyBorder="1" applyAlignment="1"/>
    <xf numFmtId="0" fontId="2" fillId="5" borderId="3" xfId="0" applyFont="1" applyFill="1" applyBorder="1" applyAlignment="1">
      <alignment wrapText="1"/>
    </xf>
    <xf numFmtId="0" fontId="2" fillId="6" borderId="3" xfId="0" applyFont="1" applyFill="1" applyBorder="1"/>
    <xf numFmtId="0" fontId="4" fillId="6" borderId="3" xfId="0" applyFont="1" applyFill="1" applyBorder="1" applyAlignment="1"/>
    <xf numFmtId="0" fontId="2" fillId="6" borderId="3" xfId="0" applyFont="1" applyFill="1" applyBorder="1" applyAlignment="1">
      <alignment wrapText="1"/>
    </xf>
    <xf numFmtId="0" fontId="2" fillId="7" borderId="8" xfId="0" applyFont="1" applyFill="1" applyBorder="1"/>
    <xf numFmtId="0" fontId="4" fillId="7" borderId="3" xfId="0" applyFont="1" applyFill="1" applyBorder="1" applyAlignment="1"/>
    <xf numFmtId="0" fontId="2" fillId="7" borderId="3" xfId="0" applyFont="1" applyFill="1" applyBorder="1"/>
    <xf numFmtId="0" fontId="2" fillId="8" borderId="3" xfId="0" applyFont="1" applyFill="1" applyBorder="1"/>
    <xf numFmtId="0" fontId="4" fillId="8" borderId="3" xfId="0" applyFont="1" applyFill="1" applyBorder="1" applyAlignment="1"/>
    <xf numFmtId="0" fontId="2" fillId="8" borderId="3" xfId="0" applyFont="1" applyFill="1" applyBorder="1" applyAlignment="1">
      <alignment wrapText="1"/>
    </xf>
    <xf numFmtId="0" fontId="8" fillId="9" borderId="10" xfId="0" applyFont="1" applyFill="1" applyBorder="1" applyAlignment="1">
      <alignment horizontal="center" vertical="center" wrapText="1"/>
    </xf>
    <xf numFmtId="0" fontId="8" fillId="9" borderId="9" xfId="0" applyFont="1" applyFill="1" applyBorder="1" applyAlignment="1">
      <alignment horizontal="center" vertical="center" wrapText="1"/>
    </xf>
    <xf numFmtId="0" fontId="8" fillId="9" borderId="11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vertical="center" wrapText="1"/>
    </xf>
    <xf numFmtId="0" fontId="4" fillId="0" borderId="13" xfId="0" applyFont="1" applyBorder="1" applyAlignment="1">
      <alignment horizontal="right" vertical="center" wrapText="1"/>
    </xf>
    <xf numFmtId="6" fontId="4" fillId="0" borderId="13" xfId="0" applyNumberFormat="1" applyFont="1" applyBorder="1" applyAlignment="1">
      <alignment horizontal="right" vertical="center" wrapText="1"/>
    </xf>
    <xf numFmtId="0" fontId="4" fillId="0" borderId="13" xfId="0" applyFont="1" applyBorder="1" applyAlignment="1">
      <alignment vertical="center" wrapText="1"/>
    </xf>
    <xf numFmtId="0" fontId="4" fillId="0" borderId="13" xfId="0" applyFont="1" applyBorder="1" applyAlignment="1">
      <alignment horizontal="right" vertical="center" wrapText="1"/>
    </xf>
    <xf numFmtId="6" fontId="4" fillId="0" borderId="14" xfId="0" applyNumberFormat="1" applyFont="1" applyBorder="1" applyAlignment="1">
      <alignment horizontal="right" vertical="center" wrapText="1"/>
    </xf>
    <xf numFmtId="0" fontId="9" fillId="0" borderId="3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6" fontId="4" fillId="0" borderId="0" xfId="0" applyNumberFormat="1" applyFont="1" applyAlignment="1">
      <alignment horizontal="right" vertical="center" wrapText="1"/>
    </xf>
    <xf numFmtId="0" fontId="4" fillId="0" borderId="14" xfId="0" applyFont="1" applyBorder="1" applyAlignment="1">
      <alignment horizontal="right" vertical="center" wrapText="1"/>
    </xf>
    <xf numFmtId="6" fontId="4" fillId="0" borderId="3" xfId="0" applyNumberFormat="1" applyFont="1" applyBorder="1" applyAlignment="1">
      <alignment horizontal="right" vertical="center" wrapText="1"/>
    </xf>
    <xf numFmtId="0" fontId="4" fillId="0" borderId="14" xfId="0" applyFont="1" applyBorder="1" applyAlignment="1">
      <alignment horizontal="right" vertical="center" wrapText="1"/>
    </xf>
    <xf numFmtId="0" fontId="4" fillId="0" borderId="14" xfId="0" applyFont="1" applyBorder="1" applyAlignment="1">
      <alignment vertical="center" wrapText="1"/>
    </xf>
    <xf numFmtId="0" fontId="8" fillId="0" borderId="15" xfId="0" applyFont="1" applyBorder="1" applyAlignment="1">
      <alignment vertical="center" wrapText="1"/>
    </xf>
    <xf numFmtId="0" fontId="4" fillId="0" borderId="16" xfId="0" applyFont="1" applyBorder="1" applyAlignment="1">
      <alignment vertical="center" wrapText="1"/>
    </xf>
    <xf numFmtId="0" fontId="9" fillId="0" borderId="3" xfId="0" applyFont="1" applyBorder="1" applyAlignment="1">
      <alignment horizontal="left" vertical="center"/>
    </xf>
    <xf numFmtId="0" fontId="2" fillId="0" borderId="1" xfId="0" applyFont="1" applyBorder="1" applyAlignment="1">
      <alignment horizontal="center"/>
    </xf>
    <xf numFmtId="0" fontId="3" fillId="0" borderId="2" xfId="0" applyFont="1" applyBorder="1"/>
    <xf numFmtId="0" fontId="4" fillId="0" borderId="1" xfId="0" applyFont="1" applyBorder="1" applyAlignment="1">
      <alignment horizontal="center"/>
    </xf>
    <xf numFmtId="0" fontId="3" fillId="0" borderId="4" xfId="0" applyFont="1" applyBorder="1"/>
    <xf numFmtId="0" fontId="2" fillId="0" borderId="5" xfId="0" applyFont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5" fillId="9" borderId="1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/>
    </xf>
    <xf numFmtId="166" fontId="1" fillId="0" borderId="16" xfId="1" applyNumberFormat="1" applyFont="1" applyBorder="1" applyAlignment="1">
      <alignment horizontal="right" vertical="center" wrapText="1"/>
    </xf>
    <xf numFmtId="167" fontId="8" fillId="0" borderId="13" xfId="1" applyNumberFormat="1" applyFont="1" applyBorder="1" applyAlignment="1">
      <alignment horizontal="right" vertical="center" wrapText="1"/>
    </xf>
    <xf numFmtId="0" fontId="13" fillId="0" borderId="12" xfId="0" applyFont="1" applyBorder="1" applyAlignment="1">
      <alignment vertical="center" wrapText="1"/>
    </xf>
    <xf numFmtId="0" fontId="8" fillId="0" borderId="8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6" fontId="9" fillId="0" borderId="8" xfId="0" applyNumberFormat="1" applyFont="1" applyBorder="1" applyAlignment="1"/>
    <xf numFmtId="167" fontId="9" fillId="0" borderId="3" xfId="0" applyNumberFormat="1" applyFont="1" applyBorder="1" applyAlignment="1"/>
    <xf numFmtId="167" fontId="9" fillId="0" borderId="7" xfId="0" applyNumberFormat="1" applyFont="1" applyBorder="1" applyAlignment="1"/>
    <xf numFmtId="0" fontId="14" fillId="0" borderId="3" xfId="0" applyFont="1" applyBorder="1" applyAlignment="1">
      <alignment vertical="center" wrapText="1"/>
    </xf>
    <xf numFmtId="0" fontId="12" fillId="0" borderId="3" xfId="0" applyFont="1" applyBorder="1" applyAlignment="1">
      <alignment vertical="center" wrapText="1"/>
    </xf>
    <xf numFmtId="0" fontId="14" fillId="0" borderId="5" xfId="0" applyFont="1" applyBorder="1" applyAlignment="1">
      <alignment vertical="center" wrapText="1"/>
    </xf>
    <xf numFmtId="0" fontId="5" fillId="9" borderId="17" xfId="0" applyFont="1" applyFill="1" applyBorder="1" applyAlignment="1">
      <alignment horizontal="center"/>
    </xf>
    <xf numFmtId="0" fontId="3" fillId="0" borderId="18" xfId="0" applyFont="1" applyBorder="1"/>
    <xf numFmtId="0" fontId="3" fillId="0" borderId="19" xfId="0" applyFont="1" applyBorder="1"/>
    <xf numFmtId="0" fontId="0" fillId="0" borderId="8" xfId="0" applyFont="1" applyBorder="1" applyAlignment="1"/>
    <xf numFmtId="0" fontId="9" fillId="0" borderId="8" xfId="0" applyFont="1" applyBorder="1" applyAlignment="1">
      <alignment vertical="center" wrapText="1"/>
    </xf>
    <xf numFmtId="0" fontId="12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9" fillId="0" borderId="8" xfId="0" applyFont="1" applyBorder="1" applyAlignment="1">
      <alignment horizontal="left" vertical="center"/>
    </xf>
    <xf numFmtId="0" fontId="3" fillId="0" borderId="8" xfId="0" applyFont="1" applyBorder="1" applyAlignment="1"/>
    <xf numFmtId="0" fontId="12" fillId="0" borderId="8" xfId="0" applyNumberFormat="1" applyFont="1" applyBorder="1" applyAlignment="1">
      <alignment horizontal="right"/>
    </xf>
    <xf numFmtId="0" fontId="12" fillId="0" borderId="20" xfId="0" applyFont="1" applyBorder="1" applyAlignment="1">
      <alignment horizontal="left" vertical="center" wrapText="1"/>
    </xf>
    <xf numFmtId="0" fontId="2" fillId="0" borderId="21" xfId="0" applyFont="1" applyBorder="1" applyAlignment="1">
      <alignment horizontal="left" vertical="center" wrapText="1"/>
    </xf>
    <xf numFmtId="0" fontId="2" fillId="0" borderId="22" xfId="0" applyFont="1" applyBorder="1" applyAlignment="1">
      <alignment horizontal="left" vertical="center" wrapText="1"/>
    </xf>
    <xf numFmtId="0" fontId="14" fillId="0" borderId="23" xfId="0" applyFont="1" applyBorder="1" applyAlignment="1">
      <alignment vertical="center" wrapText="1"/>
    </xf>
    <xf numFmtId="167" fontId="14" fillId="0" borderId="23" xfId="0" applyNumberFormat="1" applyFont="1" applyBorder="1" applyAlignment="1">
      <alignment horizontal="left" vertical="center" wrapText="1"/>
    </xf>
    <xf numFmtId="0" fontId="0" fillId="0" borderId="0" xfId="0" applyFont="1" applyAlignment="1">
      <alignment vertical="center"/>
    </xf>
    <xf numFmtId="0" fontId="9" fillId="0" borderId="1" xfId="0" applyFont="1" applyBorder="1" applyAlignment="1">
      <alignment vertical="center" wrapText="1"/>
    </xf>
    <xf numFmtId="0" fontId="2" fillId="0" borderId="20" xfId="0" applyFont="1" applyBorder="1" applyAlignment="1">
      <alignment horizontal="left" vertical="center" wrapText="1"/>
    </xf>
    <xf numFmtId="0" fontId="3" fillId="0" borderId="22" xfId="0" applyFont="1" applyBorder="1"/>
    <xf numFmtId="166" fontId="14" fillId="0" borderId="24" xfId="0" applyNumberFormat="1" applyFont="1" applyBorder="1" applyAlignment="1">
      <alignment horizontal="left"/>
    </xf>
    <xf numFmtId="166" fontId="14" fillId="0" borderId="25" xfId="0" applyNumberFormat="1" applyFont="1" applyBorder="1" applyAlignment="1">
      <alignment horizontal="left"/>
    </xf>
    <xf numFmtId="6" fontId="12" fillId="0" borderId="3" xfId="0" applyNumberFormat="1" applyFont="1" applyBorder="1" applyAlignment="1">
      <alignment horizontal="right" vertical="center" wrapText="1"/>
    </xf>
    <xf numFmtId="167" fontId="13" fillId="0" borderId="13" xfId="0" applyNumberFormat="1" applyFont="1" applyBorder="1" applyAlignment="1">
      <alignment horizontal="right" vertical="center" wrapText="1"/>
    </xf>
    <xf numFmtId="0" fontId="9" fillId="0" borderId="3" xfId="0" applyFont="1" applyBorder="1" applyAlignment="1">
      <alignment vertical="center"/>
    </xf>
    <xf numFmtId="0" fontId="12" fillId="0" borderId="20" xfId="0" applyFont="1" applyBorder="1" applyAlignment="1">
      <alignment vertical="center" wrapText="1"/>
    </xf>
    <xf numFmtId="0" fontId="12" fillId="0" borderId="21" xfId="0" applyFont="1" applyBorder="1" applyAlignment="1">
      <alignment vertical="center" wrapText="1"/>
    </xf>
    <xf numFmtId="0" fontId="12" fillId="0" borderId="22" xfId="0" applyFont="1" applyBorder="1" applyAlignment="1">
      <alignment vertical="center" wrapText="1"/>
    </xf>
    <xf numFmtId="6" fontId="4" fillId="0" borderId="8" xfId="0" applyNumberFormat="1" applyFont="1" applyBorder="1" applyAlignment="1">
      <alignment vertical="center" wrapText="1"/>
    </xf>
    <xf numFmtId="0" fontId="5" fillId="9" borderId="26" xfId="0" applyFont="1" applyFill="1" applyBorder="1" applyAlignment="1">
      <alignment horizontal="center"/>
    </xf>
    <xf numFmtId="0" fontId="3" fillId="0" borderId="27" xfId="0" applyFont="1" applyBorder="1"/>
    <xf numFmtId="0" fontId="3" fillId="0" borderId="28" xfId="0" applyFont="1" applyBorder="1"/>
    <xf numFmtId="0" fontId="7" fillId="9" borderId="29" xfId="0" applyFont="1" applyFill="1" applyBorder="1" applyAlignment="1">
      <alignment vertical="center" wrapText="1"/>
    </xf>
    <xf numFmtId="0" fontId="8" fillId="9" borderId="13" xfId="0" applyFont="1" applyFill="1" applyBorder="1" applyAlignment="1">
      <alignment horizontal="center" vertical="center" wrapText="1"/>
    </xf>
    <xf numFmtId="0" fontId="8" fillId="9" borderId="30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vertical="center" wrapText="1"/>
    </xf>
    <xf numFmtId="167" fontId="13" fillId="0" borderId="30" xfId="0" applyNumberFormat="1" applyFont="1" applyBorder="1" applyAlignment="1">
      <alignment horizontal="right" vertical="center" wrapText="1"/>
    </xf>
    <xf numFmtId="0" fontId="13" fillId="0" borderId="29" xfId="0" applyFont="1" applyBorder="1" applyAlignment="1">
      <alignment vertical="center" wrapText="1"/>
    </xf>
    <xf numFmtId="0" fontId="13" fillId="0" borderId="31" xfId="0" applyFont="1" applyBorder="1" applyAlignment="1">
      <alignment vertical="center" wrapText="1"/>
    </xf>
    <xf numFmtId="0" fontId="4" fillId="0" borderId="32" xfId="0" applyFont="1" applyBorder="1" applyAlignment="1">
      <alignment vertical="center" wrapText="1"/>
    </xf>
    <xf numFmtId="6" fontId="4" fillId="0" borderId="32" xfId="0" applyNumberFormat="1" applyFont="1" applyBorder="1" applyAlignment="1">
      <alignment horizontal="right" vertical="center" wrapText="1"/>
    </xf>
    <xf numFmtId="167" fontId="13" fillId="0" borderId="33" xfId="0" applyNumberFormat="1" applyFont="1" applyBorder="1" applyAlignment="1">
      <alignment horizontal="right" vertical="center" wrapText="1"/>
    </xf>
    <xf numFmtId="0" fontId="5" fillId="9" borderId="34" xfId="0" applyFont="1" applyFill="1" applyBorder="1" applyAlignment="1">
      <alignment horizontal="center"/>
    </xf>
    <xf numFmtId="0" fontId="3" fillId="0" borderId="35" xfId="0" applyFont="1" applyBorder="1"/>
    <xf numFmtId="0" fontId="3" fillId="0" borderId="36" xfId="0" applyFont="1" applyBorder="1"/>
    <xf numFmtId="0" fontId="13" fillId="0" borderId="37" xfId="0" applyFont="1" applyBorder="1" applyAlignment="1">
      <alignment vertical="center" wrapText="1"/>
    </xf>
    <xf numFmtId="0" fontId="13" fillId="0" borderId="38" xfId="0" applyFont="1" applyBorder="1" applyAlignment="1">
      <alignment vertical="center" wrapText="1"/>
    </xf>
    <xf numFmtId="0" fontId="8" fillId="9" borderId="39" xfId="0" applyFont="1" applyFill="1" applyBorder="1" applyAlignment="1">
      <alignment horizontal="center" vertical="center" wrapText="1"/>
    </xf>
    <xf numFmtId="0" fontId="8" fillId="9" borderId="40" xfId="0" applyFont="1" applyFill="1" applyBorder="1" applyAlignment="1">
      <alignment horizontal="center" vertical="center" wrapText="1"/>
    </xf>
    <xf numFmtId="0" fontId="8" fillId="9" borderId="36" xfId="0" applyFont="1" applyFill="1" applyBorder="1" applyAlignment="1">
      <alignment horizontal="center" vertical="center" wrapText="1"/>
    </xf>
    <xf numFmtId="0" fontId="8" fillId="0" borderId="37" xfId="0" applyFont="1" applyBorder="1" applyAlignment="1">
      <alignment vertical="center" wrapText="1"/>
    </xf>
    <xf numFmtId="0" fontId="4" fillId="0" borderId="38" xfId="0" applyFont="1" applyBorder="1" applyAlignment="1">
      <alignment vertical="center" wrapText="1"/>
    </xf>
    <xf numFmtId="0" fontId="8" fillId="0" borderId="41" xfId="0" applyFont="1" applyBorder="1" applyAlignment="1">
      <alignment vertical="center" wrapText="1"/>
    </xf>
    <xf numFmtId="0" fontId="4" fillId="0" borderId="42" xfId="0" applyFont="1" applyBorder="1" applyAlignment="1">
      <alignment vertical="center" wrapText="1"/>
    </xf>
    <xf numFmtId="6" fontId="4" fillId="0" borderId="43" xfId="0" applyNumberFormat="1" applyFont="1" applyBorder="1" applyAlignment="1">
      <alignment horizontal="right"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000"/>
  <sheetViews>
    <sheetView workbookViewId="0">
      <selection activeCell="C4" sqref="C4"/>
    </sheetView>
  </sheetViews>
  <sheetFormatPr baseColWidth="10" defaultColWidth="14.42578125" defaultRowHeight="15" customHeight="1"/>
  <cols>
    <col min="1" max="2" width="10.7109375" customWidth="1"/>
    <col min="3" max="3" width="28.140625" customWidth="1"/>
    <col min="4" max="26" width="10.7109375" customWidth="1"/>
  </cols>
  <sheetData>
    <row r="1" spans="2:3" ht="14.25" customHeight="1"/>
    <row r="2" spans="2:3" ht="14.25" customHeight="1">
      <c r="B2" s="43" t="s">
        <v>0</v>
      </c>
      <c r="C2" s="44"/>
    </row>
    <row r="3" spans="2:3" ht="14.25" customHeight="1">
      <c r="B3" s="1" t="s">
        <v>1</v>
      </c>
      <c r="C3" s="1" t="s">
        <v>2</v>
      </c>
    </row>
    <row r="4" spans="2:3" ht="14.25" customHeight="1">
      <c r="B4" s="2" t="s">
        <v>3</v>
      </c>
      <c r="C4" s="3">
        <f>'costos del equipo de trabajo'!E16</f>
        <v>8073997</v>
      </c>
    </row>
    <row r="5" spans="2:3" ht="14.25" customHeight="1">
      <c r="B5" s="2" t="s">
        <v>4</v>
      </c>
      <c r="C5" s="4">
        <f>'costos del equipo de trabajo'!I7</f>
        <v>0</v>
      </c>
    </row>
    <row r="6" spans="2:3" ht="14.25" customHeight="1">
      <c r="B6" s="2" t="s">
        <v>5</v>
      </c>
      <c r="C6" s="4">
        <f>'costos del equipo de trabajo'!O8</f>
        <v>48900000</v>
      </c>
    </row>
    <row r="7" spans="2:3" ht="14.25" customHeight="1">
      <c r="B7" s="2" t="s">
        <v>6</v>
      </c>
      <c r="C7" s="4">
        <v>0</v>
      </c>
    </row>
    <row r="8" spans="2:3" ht="14.25" customHeight="1">
      <c r="C8" s="5">
        <f>SUM(C4:C6)</f>
        <v>56973997</v>
      </c>
    </row>
    <row r="9" spans="2:3" ht="14.25" customHeight="1"/>
    <row r="10" spans="2:3" ht="14.25" customHeight="1"/>
    <row r="11" spans="2:3" ht="14.25" customHeight="1"/>
    <row r="12" spans="2:3" ht="14.25" customHeight="1"/>
    <row r="13" spans="2:3" ht="14.25" customHeight="1"/>
    <row r="14" spans="2:3" ht="14.25" customHeight="1"/>
    <row r="15" spans="2:3" ht="14.25" customHeight="1"/>
    <row r="16" spans="2: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B2:C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E1000"/>
  <sheetViews>
    <sheetView topLeftCell="A7" workbookViewId="0"/>
  </sheetViews>
  <sheetFormatPr baseColWidth="10" defaultColWidth="14.42578125" defaultRowHeight="15" customHeight="1"/>
  <cols>
    <col min="1" max="2" width="10.7109375" customWidth="1"/>
    <col min="3" max="3" width="24.7109375" customWidth="1"/>
    <col min="4" max="4" width="5.28515625" customWidth="1"/>
    <col min="5" max="5" width="5.140625" customWidth="1"/>
    <col min="6" max="6" width="5" customWidth="1"/>
    <col min="7" max="7" width="5.42578125" customWidth="1"/>
    <col min="8" max="9" width="5.28515625" customWidth="1"/>
    <col min="10" max="10" width="5.140625" customWidth="1"/>
    <col min="11" max="13" width="5.28515625" customWidth="1"/>
    <col min="14" max="15" width="5" customWidth="1"/>
    <col min="16" max="17" width="5.28515625" customWidth="1"/>
    <col min="18" max="18" width="5" customWidth="1"/>
    <col min="19" max="19" width="5.28515625" customWidth="1"/>
    <col min="20" max="20" width="5.140625" customWidth="1"/>
    <col min="21" max="26" width="5.28515625" customWidth="1"/>
    <col min="27" max="31" width="5.42578125" customWidth="1"/>
  </cols>
  <sheetData>
    <row r="1" spans="2:31" ht="14.25" customHeight="1"/>
    <row r="2" spans="2:31" ht="14.25" customHeight="1">
      <c r="D2" s="45" t="s">
        <v>7</v>
      </c>
      <c r="E2" s="46"/>
      <c r="F2" s="46"/>
      <c r="G2" s="44"/>
      <c r="H2" s="45" t="s">
        <v>8</v>
      </c>
      <c r="I2" s="46"/>
      <c r="J2" s="46"/>
      <c r="K2" s="44"/>
      <c r="L2" s="45" t="s">
        <v>9</v>
      </c>
      <c r="M2" s="46"/>
      <c r="N2" s="46"/>
      <c r="O2" s="44"/>
      <c r="P2" s="45" t="s">
        <v>10</v>
      </c>
      <c r="Q2" s="46"/>
      <c r="R2" s="46"/>
      <c r="S2" s="44"/>
      <c r="T2" s="45" t="s">
        <v>11</v>
      </c>
      <c r="U2" s="46"/>
      <c r="V2" s="46"/>
      <c r="W2" s="44"/>
      <c r="X2" s="45" t="s">
        <v>12</v>
      </c>
      <c r="Y2" s="46"/>
      <c r="Z2" s="46"/>
      <c r="AA2" s="44"/>
      <c r="AB2" s="45" t="s">
        <v>13</v>
      </c>
      <c r="AC2" s="46"/>
      <c r="AD2" s="46"/>
      <c r="AE2" s="44"/>
    </row>
    <row r="3" spans="2:31" ht="14.25" customHeight="1">
      <c r="D3" s="6">
        <v>1</v>
      </c>
      <c r="E3" s="6">
        <v>2</v>
      </c>
      <c r="F3" s="6">
        <v>3</v>
      </c>
      <c r="G3" s="6">
        <v>4</v>
      </c>
      <c r="H3" s="6">
        <v>1</v>
      </c>
      <c r="I3" s="6">
        <v>2</v>
      </c>
      <c r="J3" s="6">
        <v>3</v>
      </c>
      <c r="K3" s="6">
        <v>4</v>
      </c>
      <c r="L3" s="6">
        <v>1</v>
      </c>
      <c r="M3" s="6">
        <v>2</v>
      </c>
      <c r="N3" s="6">
        <v>3</v>
      </c>
      <c r="O3" s="6">
        <v>4</v>
      </c>
      <c r="P3" s="6">
        <v>1</v>
      </c>
      <c r="Q3" s="6">
        <v>2</v>
      </c>
      <c r="R3" s="6">
        <v>3</v>
      </c>
      <c r="S3" s="6">
        <v>4</v>
      </c>
      <c r="T3" s="6">
        <v>1</v>
      </c>
      <c r="U3" s="6">
        <v>2</v>
      </c>
      <c r="V3" s="6">
        <v>3</v>
      </c>
      <c r="W3" s="6">
        <v>4</v>
      </c>
      <c r="X3" s="6">
        <v>1</v>
      </c>
      <c r="Y3" s="6">
        <v>2</v>
      </c>
      <c r="Z3" s="6">
        <v>3</v>
      </c>
      <c r="AA3" s="6">
        <v>4</v>
      </c>
      <c r="AB3" s="6">
        <v>1</v>
      </c>
      <c r="AC3" s="6">
        <v>2</v>
      </c>
      <c r="AD3" s="6">
        <v>3</v>
      </c>
      <c r="AE3" s="6">
        <v>4</v>
      </c>
    </row>
    <row r="4" spans="2:31" ht="14.25" customHeight="1">
      <c r="B4" s="47" t="s">
        <v>14</v>
      </c>
      <c r="C4" s="7" t="s">
        <v>15</v>
      </c>
      <c r="D4" s="8"/>
      <c r="E4" s="8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spans="2:31" ht="14.25" customHeight="1">
      <c r="B5" s="48"/>
      <c r="C5" s="7" t="s">
        <v>16</v>
      </c>
      <c r="D5" s="9"/>
      <c r="E5" s="9"/>
      <c r="F5" s="8"/>
      <c r="G5" s="8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</row>
    <row r="6" spans="2:31" ht="14.25" customHeight="1">
      <c r="B6" s="48"/>
      <c r="C6" s="7" t="s">
        <v>17</v>
      </c>
      <c r="D6" s="9"/>
      <c r="E6" s="9"/>
      <c r="F6" s="9"/>
      <c r="G6" s="9"/>
      <c r="H6" s="8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</row>
    <row r="7" spans="2:31" ht="14.25" customHeight="1">
      <c r="B7" s="49"/>
      <c r="C7" s="10" t="s">
        <v>18</v>
      </c>
      <c r="D7" s="9"/>
      <c r="E7" s="9"/>
      <c r="F7" s="9"/>
      <c r="G7" s="9"/>
      <c r="H7" s="9"/>
      <c r="I7" s="8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</row>
    <row r="8" spans="2:31" ht="14.25" customHeight="1">
      <c r="B8" s="47" t="s">
        <v>19</v>
      </c>
      <c r="C8" s="11" t="s">
        <v>20</v>
      </c>
      <c r="D8" s="9"/>
      <c r="E8" s="9"/>
      <c r="F8" s="9"/>
      <c r="G8" s="9"/>
      <c r="H8" s="9"/>
      <c r="I8" s="9"/>
      <c r="J8" s="12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</row>
    <row r="9" spans="2:31" ht="14.25" customHeight="1">
      <c r="B9" s="48"/>
      <c r="C9" s="11" t="s">
        <v>21</v>
      </c>
      <c r="D9" s="9"/>
      <c r="E9" s="9"/>
      <c r="F9" s="9"/>
      <c r="G9" s="9"/>
      <c r="H9" s="9"/>
      <c r="I9" s="9"/>
      <c r="J9" s="9"/>
      <c r="K9" s="12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spans="2:31" ht="14.25" customHeight="1">
      <c r="B10" s="48"/>
      <c r="C10" s="11" t="s">
        <v>22</v>
      </c>
      <c r="D10" s="9"/>
      <c r="E10" s="9"/>
      <c r="F10" s="9"/>
      <c r="G10" s="9"/>
      <c r="H10" s="9"/>
      <c r="I10" s="9"/>
      <c r="J10" s="9"/>
      <c r="K10" s="9"/>
      <c r="L10" s="12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</row>
    <row r="11" spans="2:31" ht="29.25" customHeight="1">
      <c r="B11" s="49"/>
      <c r="C11" s="13" t="s">
        <v>23</v>
      </c>
      <c r="D11" s="9"/>
      <c r="E11" s="9"/>
      <c r="F11" s="9"/>
      <c r="G11" s="9"/>
      <c r="H11" s="9"/>
      <c r="I11" s="9"/>
      <c r="J11" s="9"/>
      <c r="K11" s="9"/>
      <c r="L11" s="9"/>
      <c r="M11" s="12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</row>
    <row r="12" spans="2:31" ht="14.25" customHeight="1">
      <c r="B12" s="47" t="s">
        <v>24</v>
      </c>
      <c r="C12" s="14" t="s">
        <v>25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15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</row>
    <row r="13" spans="2:31" ht="28.5" customHeight="1">
      <c r="B13" s="48"/>
      <c r="C13" s="16" t="s">
        <v>26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15"/>
      <c r="O13" s="15"/>
      <c r="P13" s="15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</row>
    <row r="14" spans="2:31" ht="31.5" customHeight="1">
      <c r="B14" s="48"/>
      <c r="C14" s="16" t="s">
        <v>27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15"/>
      <c r="Q14" s="15"/>
      <c r="R14" s="15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</row>
    <row r="15" spans="2:31" ht="28.5" customHeight="1">
      <c r="B15" s="48"/>
      <c r="C15" s="16" t="s">
        <v>28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15"/>
      <c r="S15" s="15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</row>
    <row r="16" spans="2:31" ht="14.25" customHeight="1">
      <c r="B16" s="48"/>
      <c r="C16" s="14" t="s">
        <v>29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15"/>
      <c r="V16" s="9"/>
      <c r="W16" s="9"/>
      <c r="X16" s="9"/>
      <c r="Y16" s="9"/>
      <c r="Z16" s="9"/>
      <c r="AA16" s="9"/>
      <c r="AB16" s="9"/>
      <c r="AC16" s="9"/>
      <c r="AD16" s="9"/>
      <c r="AE16" s="9"/>
    </row>
    <row r="17" spans="2:31" ht="14.25" customHeight="1">
      <c r="B17" s="49"/>
      <c r="C17" s="14" t="s">
        <v>30</v>
      </c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15"/>
      <c r="W17" s="9"/>
      <c r="X17" s="9"/>
      <c r="Y17" s="9"/>
      <c r="Z17" s="9"/>
      <c r="AA17" s="9"/>
      <c r="AB17" s="9"/>
      <c r="AC17" s="9"/>
      <c r="AD17" s="9"/>
      <c r="AE17" s="9"/>
    </row>
    <row r="18" spans="2:31" ht="14.25" customHeight="1">
      <c r="B18" s="47" t="s">
        <v>31</v>
      </c>
      <c r="C18" s="17" t="s">
        <v>32</v>
      </c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18"/>
      <c r="X18" s="9"/>
      <c r="Y18" s="9"/>
      <c r="Z18" s="9"/>
      <c r="AA18" s="9"/>
      <c r="AB18" s="9"/>
      <c r="AC18" s="9"/>
      <c r="AD18" s="9"/>
      <c r="AE18" s="9"/>
    </row>
    <row r="19" spans="2:31" ht="14.25" customHeight="1">
      <c r="B19" s="48"/>
      <c r="C19" s="19" t="s">
        <v>33</v>
      </c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18"/>
      <c r="Y19" s="9"/>
      <c r="Z19" s="9"/>
      <c r="AA19" s="9"/>
      <c r="AB19" s="9"/>
      <c r="AC19" s="9"/>
      <c r="AD19" s="9"/>
      <c r="AE19" s="9"/>
    </row>
    <row r="20" spans="2:31" ht="14.25" customHeight="1">
      <c r="B20" s="48"/>
      <c r="C20" s="19" t="s">
        <v>34</v>
      </c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18"/>
      <c r="Z20" s="9"/>
      <c r="AA20" s="9"/>
      <c r="AB20" s="9"/>
      <c r="AC20" s="9"/>
      <c r="AD20" s="9"/>
      <c r="AE20" s="9"/>
    </row>
    <row r="21" spans="2:31" ht="14.25" customHeight="1">
      <c r="B21" s="49"/>
      <c r="C21" s="19" t="s">
        <v>35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8"/>
      <c r="AA21" s="9"/>
      <c r="AB21" s="9"/>
      <c r="AC21" s="9"/>
      <c r="AD21" s="9"/>
      <c r="AE21" s="9"/>
    </row>
    <row r="22" spans="2:31" ht="14.25" customHeight="1">
      <c r="B22" s="47" t="s">
        <v>36</v>
      </c>
      <c r="C22" s="20" t="s">
        <v>18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21"/>
      <c r="AB22" s="21"/>
      <c r="AC22" s="9"/>
      <c r="AD22" s="9"/>
      <c r="AE22" s="9"/>
    </row>
    <row r="23" spans="2:31" ht="27.75" customHeight="1">
      <c r="B23" s="48"/>
      <c r="C23" s="22" t="s">
        <v>37</v>
      </c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21"/>
      <c r="AC23" s="21"/>
      <c r="AD23" s="9"/>
      <c r="AE23" s="9"/>
    </row>
    <row r="24" spans="2:31" ht="14.25" customHeight="1">
      <c r="B24" s="48"/>
      <c r="C24" s="20" t="s">
        <v>38</v>
      </c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21"/>
      <c r="AE24" s="9"/>
    </row>
    <row r="25" spans="2:31" ht="28.5" customHeight="1">
      <c r="B25" s="49"/>
      <c r="C25" s="22" t="s">
        <v>39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21"/>
    </row>
    <row r="26" spans="2:31" ht="14.25" customHeight="1"/>
    <row r="27" spans="2:31" ht="14.25" customHeight="1"/>
    <row r="28" spans="2:31" ht="14.25" customHeight="1"/>
    <row r="29" spans="2:31" ht="14.25" customHeight="1"/>
    <row r="30" spans="2:31" ht="14.25" customHeight="1"/>
    <row r="31" spans="2:31" ht="14.25" customHeight="1"/>
    <row r="32" spans="2:31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2">
    <mergeCell ref="B4:B7"/>
    <mergeCell ref="B8:B11"/>
    <mergeCell ref="B12:B17"/>
    <mergeCell ref="B18:B21"/>
    <mergeCell ref="B22:B25"/>
    <mergeCell ref="X2:AA2"/>
    <mergeCell ref="AB2:AE2"/>
    <mergeCell ref="D2:G2"/>
    <mergeCell ref="H2:K2"/>
    <mergeCell ref="L2:O2"/>
    <mergeCell ref="P2:S2"/>
    <mergeCell ref="T2:W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1004"/>
  <sheetViews>
    <sheetView tabSelected="1" workbookViewId="0">
      <selection activeCell="H9" sqref="H9"/>
    </sheetView>
  </sheetViews>
  <sheetFormatPr baseColWidth="10" defaultColWidth="14.42578125" defaultRowHeight="15" customHeight="1"/>
  <cols>
    <col min="1" max="1" width="10.7109375" customWidth="1"/>
    <col min="2" max="2" width="23" customWidth="1"/>
    <col min="3" max="3" width="10.7109375" customWidth="1"/>
    <col min="4" max="4" width="16.140625" customWidth="1"/>
    <col min="5" max="5" width="13" customWidth="1"/>
    <col min="6" max="6" width="10.7109375" customWidth="1"/>
    <col min="7" max="8" width="22.7109375" customWidth="1"/>
    <col min="9" max="10" width="10.7109375" customWidth="1"/>
    <col min="11" max="11" width="22.7109375" customWidth="1"/>
    <col min="12" max="13" width="10.7109375" customWidth="1"/>
    <col min="14" max="14" width="15.42578125" customWidth="1"/>
    <col min="15" max="15" width="18.7109375" customWidth="1"/>
    <col min="16" max="16" width="10.7109375" customWidth="1"/>
    <col min="17" max="17" width="23.42578125" customWidth="1"/>
    <col min="18" max="18" width="21.85546875" customWidth="1"/>
    <col min="19" max="19" width="22.7109375" customWidth="1"/>
    <col min="20" max="20" width="23.28515625" customWidth="1"/>
    <col min="21" max="26" width="10.7109375" customWidth="1"/>
  </cols>
  <sheetData>
    <row r="1" spans="2:20" ht="14.25" customHeight="1" thickBot="1"/>
    <row r="2" spans="2:20" ht="14.25" customHeight="1" thickBot="1">
      <c r="B2" s="92" t="s">
        <v>40</v>
      </c>
      <c r="C2" s="93"/>
      <c r="D2" s="93"/>
      <c r="E2" s="94"/>
      <c r="G2" s="105" t="s">
        <v>41</v>
      </c>
      <c r="H2" s="106"/>
      <c r="I2" s="107"/>
      <c r="K2" s="51" t="s">
        <v>42</v>
      </c>
      <c r="L2" s="46"/>
      <c r="M2" s="46"/>
      <c r="N2" s="46"/>
      <c r="O2" s="44"/>
      <c r="Q2" s="50" t="s">
        <v>43</v>
      </c>
      <c r="R2" s="46"/>
      <c r="S2" s="46"/>
      <c r="T2" s="44"/>
    </row>
    <row r="3" spans="2:20" ht="57.75" customHeight="1" thickBot="1">
      <c r="B3" s="95"/>
      <c r="C3" s="96" t="s">
        <v>44</v>
      </c>
      <c r="D3" s="96" t="s">
        <v>45</v>
      </c>
      <c r="E3" s="97" t="s">
        <v>46</v>
      </c>
      <c r="G3" s="110" t="s">
        <v>47</v>
      </c>
      <c r="H3" s="111" t="s">
        <v>48</v>
      </c>
      <c r="I3" s="112" t="s">
        <v>49</v>
      </c>
      <c r="K3" s="24" t="s">
        <v>50</v>
      </c>
      <c r="L3" s="23" t="s">
        <v>44</v>
      </c>
      <c r="M3" s="23" t="s">
        <v>51</v>
      </c>
      <c r="N3" s="23" t="s">
        <v>52</v>
      </c>
      <c r="O3" s="25" t="s">
        <v>46</v>
      </c>
      <c r="Q3" s="26" t="s">
        <v>53</v>
      </c>
      <c r="R3" s="26" t="s">
        <v>54</v>
      </c>
      <c r="S3" s="26" t="s">
        <v>55</v>
      </c>
      <c r="T3" s="26" t="s">
        <v>56</v>
      </c>
    </row>
    <row r="4" spans="2:20" ht="14.25" customHeight="1" thickBot="1">
      <c r="B4" s="98" t="s">
        <v>57</v>
      </c>
      <c r="C4" s="31">
        <v>1</v>
      </c>
      <c r="D4" s="29">
        <v>24000</v>
      </c>
      <c r="E4" s="99">
        <f>C4 * D4</f>
        <v>24000</v>
      </c>
      <c r="G4" s="115" t="s">
        <v>58</v>
      </c>
      <c r="H4" s="116" t="s">
        <v>59</v>
      </c>
      <c r="I4" s="117">
        <v>0</v>
      </c>
      <c r="K4" s="27" t="s">
        <v>60</v>
      </c>
      <c r="L4" s="28">
        <v>1</v>
      </c>
      <c r="M4" s="31">
        <v>7</v>
      </c>
      <c r="N4" s="32">
        <v>2000000</v>
      </c>
      <c r="O4" s="59">
        <f>(M4*N4)*L4</f>
        <v>14000000</v>
      </c>
      <c r="Q4" s="33" t="s">
        <v>61</v>
      </c>
      <c r="R4" s="34" t="s">
        <v>62</v>
      </c>
      <c r="S4" s="34" t="s">
        <v>63</v>
      </c>
      <c r="T4" s="34" t="s">
        <v>64</v>
      </c>
    </row>
    <row r="5" spans="2:20" ht="43.5" customHeight="1" thickBot="1">
      <c r="B5" s="100" t="s">
        <v>130</v>
      </c>
      <c r="C5" s="31">
        <v>1</v>
      </c>
      <c r="D5" s="29">
        <v>70000</v>
      </c>
      <c r="E5" s="99">
        <f t="shared" ref="E5:E15" si="0">C5 * D5</f>
        <v>70000</v>
      </c>
      <c r="G5" s="113" t="s">
        <v>65</v>
      </c>
      <c r="H5" s="114" t="s">
        <v>59</v>
      </c>
      <c r="I5" s="117">
        <v>0</v>
      </c>
      <c r="K5" s="27" t="s">
        <v>66</v>
      </c>
      <c r="L5" s="28">
        <v>1</v>
      </c>
      <c r="M5" s="31">
        <v>7</v>
      </c>
      <c r="N5" s="35">
        <v>2500000</v>
      </c>
      <c r="O5" s="59">
        <f t="shared" ref="O5:O7" si="1">(M5*N5)*L5</f>
        <v>17500000</v>
      </c>
      <c r="Q5" s="33" t="s">
        <v>67</v>
      </c>
      <c r="R5" s="34" t="s">
        <v>68</v>
      </c>
      <c r="S5" s="34" t="s">
        <v>69</v>
      </c>
      <c r="T5" s="34" t="s">
        <v>70</v>
      </c>
    </row>
    <row r="6" spans="2:20" ht="39.75" customHeight="1" thickBot="1">
      <c r="B6" s="98" t="s">
        <v>127</v>
      </c>
      <c r="C6" s="31">
        <v>1</v>
      </c>
      <c r="D6" s="29">
        <v>20000</v>
      </c>
      <c r="E6" s="99">
        <f t="shared" si="0"/>
        <v>20000</v>
      </c>
      <c r="F6" s="67"/>
      <c r="G6" s="108" t="s">
        <v>71</v>
      </c>
      <c r="H6" s="109" t="s">
        <v>135</v>
      </c>
      <c r="I6" s="117">
        <v>0</v>
      </c>
      <c r="K6" s="27" t="s">
        <v>72</v>
      </c>
      <c r="L6" s="28">
        <v>1</v>
      </c>
      <c r="M6" s="36">
        <v>4</v>
      </c>
      <c r="N6" s="37">
        <v>1200000</v>
      </c>
      <c r="O6" s="59">
        <f t="shared" si="1"/>
        <v>4800000</v>
      </c>
      <c r="Q6" s="33" t="s">
        <v>73</v>
      </c>
      <c r="R6" s="34" t="s">
        <v>74</v>
      </c>
      <c r="S6" s="34" t="s">
        <v>75</v>
      </c>
      <c r="T6" s="34" t="s">
        <v>76</v>
      </c>
    </row>
    <row r="7" spans="2:20" ht="30.75" customHeight="1" thickBot="1">
      <c r="B7" s="98" t="s">
        <v>128</v>
      </c>
      <c r="C7" s="30">
        <v>40</v>
      </c>
      <c r="D7" s="29">
        <v>300</v>
      </c>
      <c r="E7" s="99">
        <f t="shared" si="0"/>
        <v>12000</v>
      </c>
      <c r="F7" s="67"/>
      <c r="G7" s="56"/>
      <c r="H7" s="57"/>
      <c r="I7" s="91"/>
      <c r="K7" s="27" t="s">
        <v>77</v>
      </c>
      <c r="L7" s="28">
        <v>1</v>
      </c>
      <c r="M7" s="38">
        <v>7</v>
      </c>
      <c r="N7" s="37">
        <v>1800000</v>
      </c>
      <c r="O7" s="59">
        <f t="shared" si="1"/>
        <v>12600000</v>
      </c>
      <c r="Q7" s="33" t="s">
        <v>78</v>
      </c>
      <c r="R7" s="34" t="s">
        <v>79</v>
      </c>
      <c r="S7" s="34" t="s">
        <v>80</v>
      </c>
      <c r="T7" s="34" t="s">
        <v>81</v>
      </c>
    </row>
    <row r="8" spans="2:20" ht="33.75" customHeight="1" thickBot="1">
      <c r="B8" s="100" t="s">
        <v>129</v>
      </c>
      <c r="C8" s="30">
        <v>40</v>
      </c>
      <c r="D8" s="29">
        <v>300</v>
      </c>
      <c r="E8" s="99">
        <f t="shared" si="0"/>
        <v>12000</v>
      </c>
      <c r="K8" s="27" t="s">
        <v>82</v>
      </c>
      <c r="L8" s="30" t="s">
        <v>83</v>
      </c>
      <c r="M8" s="30" t="s">
        <v>83</v>
      </c>
      <c r="N8" s="39" t="s">
        <v>83</v>
      </c>
      <c r="O8" s="60">
        <f>SUM(O4:O7)</f>
        <v>48900000</v>
      </c>
      <c r="Q8" s="33" t="s">
        <v>84</v>
      </c>
      <c r="R8" s="34" t="s">
        <v>85</v>
      </c>
      <c r="S8" s="34" t="s">
        <v>86</v>
      </c>
      <c r="T8" s="34" t="s">
        <v>87</v>
      </c>
    </row>
    <row r="9" spans="2:20" ht="60" customHeight="1" thickBot="1">
      <c r="B9" s="101" t="s">
        <v>131</v>
      </c>
      <c r="C9" s="102">
        <v>3</v>
      </c>
      <c r="D9" s="103">
        <v>3333</v>
      </c>
      <c r="E9" s="104">
        <f t="shared" si="0"/>
        <v>9999</v>
      </c>
      <c r="K9" s="56"/>
      <c r="L9" s="57"/>
      <c r="M9" s="57"/>
      <c r="N9" s="57"/>
      <c r="O9" s="58"/>
      <c r="Q9" s="61" t="s">
        <v>89</v>
      </c>
      <c r="R9" s="62" t="s">
        <v>90</v>
      </c>
      <c r="S9" s="62" t="s">
        <v>91</v>
      </c>
      <c r="T9" s="62" t="s">
        <v>92</v>
      </c>
    </row>
    <row r="10" spans="2:20" ht="53.25" customHeight="1" thickBot="1">
      <c r="B10" s="55" t="s">
        <v>133</v>
      </c>
      <c r="C10" s="30">
        <v>1</v>
      </c>
      <c r="D10" s="29">
        <v>2400</v>
      </c>
      <c r="E10" s="86">
        <f t="shared" si="0"/>
        <v>2400</v>
      </c>
      <c r="K10" s="56"/>
      <c r="L10" s="57"/>
      <c r="M10" s="57"/>
      <c r="N10" s="57"/>
      <c r="O10" s="58"/>
      <c r="Q10" s="61" t="s">
        <v>94</v>
      </c>
      <c r="R10" s="62" t="s">
        <v>95</v>
      </c>
      <c r="S10" s="62" t="s">
        <v>96</v>
      </c>
      <c r="T10" s="62" t="s">
        <v>92</v>
      </c>
    </row>
    <row r="11" spans="2:20" ht="53.25" customHeight="1" thickBot="1">
      <c r="B11" s="55" t="s">
        <v>134</v>
      </c>
      <c r="C11" s="30">
        <v>1</v>
      </c>
      <c r="D11" s="29">
        <v>1300</v>
      </c>
      <c r="E11" s="86">
        <f t="shared" si="0"/>
        <v>1300</v>
      </c>
      <c r="K11" s="56"/>
      <c r="L11" s="57"/>
      <c r="M11" s="57"/>
      <c r="N11" s="57"/>
      <c r="O11" s="58"/>
      <c r="Q11" s="63"/>
      <c r="R11" s="88"/>
      <c r="S11" s="89"/>
      <c r="T11" s="90"/>
    </row>
    <row r="12" spans="2:20" ht="59.25" customHeight="1" thickBot="1">
      <c r="B12" s="55" t="s">
        <v>132</v>
      </c>
      <c r="C12" s="30">
        <v>6</v>
      </c>
      <c r="D12" s="29">
        <v>383</v>
      </c>
      <c r="E12" s="86">
        <f>C12 * D12</f>
        <v>2298</v>
      </c>
      <c r="K12" s="56"/>
      <c r="L12" s="57"/>
      <c r="M12" s="57"/>
      <c r="N12" s="57"/>
      <c r="O12" s="58"/>
      <c r="Q12" s="63" t="s">
        <v>98</v>
      </c>
      <c r="R12" s="74" t="s">
        <v>99</v>
      </c>
      <c r="S12" s="75"/>
      <c r="T12" s="76"/>
    </row>
    <row r="13" spans="2:20" ht="14.25" customHeight="1" thickBot="1">
      <c r="B13" s="27" t="s">
        <v>88</v>
      </c>
      <c r="C13" s="28">
        <v>1</v>
      </c>
      <c r="D13" s="29">
        <v>20000</v>
      </c>
      <c r="E13" s="86">
        <f t="shared" si="0"/>
        <v>20000</v>
      </c>
      <c r="Q13" s="77" t="s">
        <v>101</v>
      </c>
      <c r="R13" s="78">
        <v>7000000</v>
      </c>
      <c r="S13" s="78"/>
      <c r="T13" s="78"/>
    </row>
    <row r="14" spans="2:20" ht="32.25" customHeight="1" thickBot="1">
      <c r="B14" s="40" t="s">
        <v>93</v>
      </c>
      <c r="C14" s="41">
        <v>2</v>
      </c>
      <c r="D14" s="53">
        <v>3500000</v>
      </c>
      <c r="E14" s="86">
        <f t="shared" si="0"/>
        <v>7000000</v>
      </c>
      <c r="Q14" s="68"/>
      <c r="R14" s="69"/>
      <c r="S14" s="69"/>
      <c r="T14" s="70"/>
    </row>
    <row r="15" spans="2:20" ht="53.25" customHeight="1" thickBot="1">
      <c r="B15" s="33" t="s">
        <v>97</v>
      </c>
      <c r="C15" s="87">
        <v>2</v>
      </c>
      <c r="D15" s="85">
        <v>450000</v>
      </c>
      <c r="E15" s="86">
        <f t="shared" si="0"/>
        <v>900000</v>
      </c>
      <c r="Q15" s="71"/>
      <c r="R15" s="69"/>
      <c r="S15" s="72"/>
      <c r="T15" s="72"/>
    </row>
    <row r="16" spans="2:20" ht="14.25" customHeight="1" thickBot="1">
      <c r="B16" s="27" t="s">
        <v>100</v>
      </c>
      <c r="C16" s="30" t="s">
        <v>83</v>
      </c>
      <c r="D16" s="30" t="s">
        <v>83</v>
      </c>
      <c r="E16" s="54">
        <f>SUM(E4:E15)</f>
        <v>8073997</v>
      </c>
      <c r="Q16" s="68"/>
      <c r="R16" s="73"/>
      <c r="S16" s="67"/>
      <c r="T16" s="67"/>
    </row>
    <row r="17" spans="17:23" ht="14.25" customHeight="1">
      <c r="Q17" s="67"/>
      <c r="R17" s="67"/>
      <c r="S17" s="67"/>
      <c r="T17" s="67"/>
    </row>
    <row r="18" spans="17:23" ht="14.25" customHeight="1">
      <c r="Q18" s="64" t="s">
        <v>102</v>
      </c>
      <c r="R18" s="65"/>
      <c r="S18" s="66"/>
      <c r="T18" s="67"/>
    </row>
    <row r="19" spans="17:23" ht="14.25" customHeight="1">
      <c r="Q19" s="26" t="s">
        <v>103</v>
      </c>
      <c r="R19" s="26" t="s">
        <v>104</v>
      </c>
      <c r="S19" s="26" t="s">
        <v>105</v>
      </c>
    </row>
    <row r="20" spans="17:23" ht="14.25" customHeight="1">
      <c r="Q20" s="33" t="s">
        <v>106</v>
      </c>
      <c r="R20" s="34" t="s">
        <v>107</v>
      </c>
      <c r="S20" s="34" t="s">
        <v>108</v>
      </c>
    </row>
    <row r="21" spans="17:23" ht="14.25" customHeight="1">
      <c r="Q21" s="33" t="s">
        <v>109</v>
      </c>
      <c r="R21" s="34" t="s">
        <v>110</v>
      </c>
      <c r="S21" s="34" t="s">
        <v>111</v>
      </c>
    </row>
    <row r="22" spans="17:23" ht="14.25" customHeight="1">
      <c r="Q22" s="33" t="s">
        <v>112</v>
      </c>
      <c r="R22" s="34" t="s">
        <v>113</v>
      </c>
      <c r="S22" s="34" t="s">
        <v>114</v>
      </c>
    </row>
    <row r="23" spans="17:23" ht="69" customHeight="1">
      <c r="Q23" s="42" t="s">
        <v>98</v>
      </c>
      <c r="R23" s="81" t="s">
        <v>115</v>
      </c>
      <c r="S23" s="82"/>
      <c r="W23" s="79"/>
    </row>
    <row r="24" spans="17:23" ht="14.25" customHeight="1">
      <c r="Q24" s="80" t="s">
        <v>101</v>
      </c>
      <c r="R24" s="83">
        <v>900000</v>
      </c>
      <c r="S24" s="84"/>
    </row>
    <row r="25" spans="17:23" ht="14.25" customHeight="1"/>
    <row r="26" spans="17:23" ht="14.25" customHeight="1"/>
    <row r="27" spans="17:23" ht="14.25" customHeight="1"/>
    <row r="28" spans="17:23" ht="14.25" customHeight="1"/>
    <row r="29" spans="17:23" ht="14.25" customHeight="1"/>
    <row r="30" spans="17:23" ht="14.25" customHeight="1"/>
    <row r="31" spans="17:23" ht="14.25" customHeight="1"/>
    <row r="32" spans="17:2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</sheetData>
  <mergeCells count="9">
    <mergeCell ref="R24:S24"/>
    <mergeCell ref="Q18:S18"/>
    <mergeCell ref="R23:S23"/>
    <mergeCell ref="B2:E2"/>
    <mergeCell ref="G2:I2"/>
    <mergeCell ref="K2:O2"/>
    <mergeCell ref="Q2:T2"/>
    <mergeCell ref="R12:T12"/>
    <mergeCell ref="R13:T13"/>
  </mergeCells>
  <pageMargins left="0.7" right="0.7" top="0.75" bottom="0.75" header="0" footer="0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1000"/>
  <sheetViews>
    <sheetView workbookViewId="0"/>
  </sheetViews>
  <sheetFormatPr baseColWidth="10" defaultColWidth="14.42578125" defaultRowHeight="15" customHeight="1"/>
  <cols>
    <col min="1" max="1" width="10.7109375" customWidth="1"/>
    <col min="2" max="2" width="11.5703125" customWidth="1"/>
    <col min="3" max="3" width="21.28515625" customWidth="1"/>
    <col min="4" max="4" width="22.85546875" customWidth="1"/>
    <col min="5" max="5" width="10.7109375" customWidth="1"/>
    <col min="6" max="6" width="23.42578125" customWidth="1"/>
    <col min="7" max="7" width="22.85546875" customWidth="1"/>
    <col min="8" max="8" width="23.28515625" customWidth="1"/>
    <col min="9" max="26" width="10.7109375" customWidth="1"/>
  </cols>
  <sheetData>
    <row r="1" spans="2:8" ht="14.25" customHeight="1"/>
    <row r="2" spans="2:8" ht="14.25" customHeight="1">
      <c r="B2" s="50" t="s">
        <v>116</v>
      </c>
      <c r="C2" s="46"/>
      <c r="D2" s="44"/>
      <c r="F2" s="52" t="s">
        <v>117</v>
      </c>
      <c r="G2" s="46"/>
      <c r="H2" s="44"/>
    </row>
    <row r="3" spans="2:8" ht="14.25" customHeight="1">
      <c r="B3" s="26" t="s">
        <v>103</v>
      </c>
      <c r="C3" s="26" t="s">
        <v>104</v>
      </c>
      <c r="D3" s="26" t="s">
        <v>105</v>
      </c>
      <c r="F3" s="26" t="s">
        <v>103</v>
      </c>
      <c r="G3" s="26" t="s">
        <v>104</v>
      </c>
      <c r="H3" s="26" t="s">
        <v>105</v>
      </c>
    </row>
    <row r="4" spans="2:8" ht="14.25" customHeight="1">
      <c r="B4" s="33" t="s">
        <v>106</v>
      </c>
      <c r="C4" s="34" t="s">
        <v>107</v>
      </c>
      <c r="D4" s="34" t="s">
        <v>108</v>
      </c>
      <c r="F4" s="33" t="s">
        <v>118</v>
      </c>
      <c r="G4" s="34" t="s">
        <v>119</v>
      </c>
      <c r="H4" s="34" t="s">
        <v>120</v>
      </c>
    </row>
    <row r="5" spans="2:8" ht="14.25" customHeight="1">
      <c r="B5" s="33" t="s">
        <v>109</v>
      </c>
      <c r="C5" s="34" t="s">
        <v>110</v>
      </c>
      <c r="D5" s="34" t="s">
        <v>111</v>
      </c>
      <c r="F5" s="33" t="s">
        <v>121</v>
      </c>
      <c r="G5" s="34" t="s">
        <v>122</v>
      </c>
      <c r="H5" s="34" t="s">
        <v>123</v>
      </c>
    </row>
    <row r="6" spans="2:8" ht="14.25" customHeight="1">
      <c r="B6" s="33" t="s">
        <v>112</v>
      </c>
      <c r="C6" s="34" t="s">
        <v>113</v>
      </c>
      <c r="D6" s="34" t="s">
        <v>114</v>
      </c>
      <c r="F6" s="33" t="s">
        <v>124</v>
      </c>
      <c r="G6" s="34" t="s">
        <v>125</v>
      </c>
      <c r="H6" s="34" t="s">
        <v>126</v>
      </c>
    </row>
    <row r="7" spans="2:8" ht="14.25" customHeight="1"/>
    <row r="8" spans="2:8" ht="14.25" customHeight="1"/>
    <row r="9" spans="2:8" ht="14.25" customHeight="1"/>
    <row r="10" spans="2:8" ht="14.25" customHeight="1"/>
    <row r="11" spans="2:8" ht="14.25" customHeight="1"/>
    <row r="12" spans="2:8" ht="14.25" customHeight="1"/>
    <row r="13" spans="2:8" ht="14.25" customHeight="1"/>
    <row r="14" spans="2:8" ht="14.25" customHeight="1"/>
    <row r="15" spans="2:8" ht="14.25" customHeight="1"/>
    <row r="16" spans="2:8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B2:D2"/>
    <mergeCell ref="F2:H2"/>
  </mergeCell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1.Resumen</vt:lpstr>
      <vt:lpstr>5.Diagrama de gantt</vt:lpstr>
      <vt:lpstr>costos del equipo de trabajo</vt:lpstr>
      <vt:lpstr>costos estimados para 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cabrera caballero</dc:creator>
  <cp:lastModifiedBy>Tuabuela 77</cp:lastModifiedBy>
  <dcterms:created xsi:type="dcterms:W3CDTF">2025-09-01T14:21:14Z</dcterms:created>
  <dcterms:modified xsi:type="dcterms:W3CDTF">2026-08-26T19:35:22Z</dcterms:modified>
</cp:coreProperties>
</file>