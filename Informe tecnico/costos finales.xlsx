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Resumen" sheetId="1" r:id="rId4"/>
    <sheet state="visible" name="5.Diagrama de gantt" sheetId="2" r:id="rId5"/>
    <sheet state="visible" name="costos del equipo de trabajo" sheetId="3" r:id="rId6"/>
    <sheet state="visible" name="costos estimados para usuarios" sheetId="4" r:id="rId7"/>
  </sheets>
  <definedNames/>
  <calcPr/>
  <extLst>
    <ext uri="GoogleSheetsCustomDataVersion2">
      <go:sheetsCustomData xmlns:go="http://customooxmlschemas.google.com/" r:id="rId8" roundtripDataChecksum="Pz3iwk33jnOiIPCKBtoSzWvzhcyR2oF1QmG3ZwfGeKY="/>
    </ext>
  </extLst>
</workbook>
</file>

<file path=xl/sharedStrings.xml><?xml version="1.0" encoding="utf-8"?>
<sst xmlns="http://schemas.openxmlformats.org/spreadsheetml/2006/main" count="163" uniqueCount="137">
  <si>
    <t>Resumen Ejecutivo Ppto</t>
  </si>
  <si>
    <t>ITEM</t>
  </si>
  <si>
    <t>COSTOS</t>
  </si>
  <si>
    <t>Hardware</t>
  </si>
  <si>
    <t>Software</t>
  </si>
  <si>
    <t>Rec. Humano</t>
  </si>
  <si>
    <t>Otros</t>
  </si>
  <si>
    <t>ENERO</t>
  </si>
  <si>
    <t>FEBRERO</t>
  </si>
  <si>
    <t>MARZO</t>
  </si>
  <si>
    <t>ABRIL</t>
  </si>
  <si>
    <t>MAYO</t>
  </si>
  <si>
    <t>JUNIO</t>
  </si>
  <si>
    <t>JULIO</t>
  </si>
  <si>
    <t>Analsis</t>
  </si>
  <si>
    <t>Elicitación</t>
  </si>
  <si>
    <t>Análisis</t>
  </si>
  <si>
    <t>Informe de analisis (SRS)</t>
  </si>
  <si>
    <t>Validación de requerimientos</t>
  </si>
  <si>
    <t>Planeación</t>
  </si>
  <si>
    <t>Crear arquitectura</t>
  </si>
  <si>
    <t>Seleccionar tecnologias</t>
  </si>
  <si>
    <t>Disgramas UML</t>
  </si>
  <si>
    <t>Diseñar la UI de la app y Informe de diseño</t>
  </si>
  <si>
    <t>Desarrollo</t>
  </si>
  <si>
    <t>Configuración de entorno</t>
  </si>
  <si>
    <t>Desarrollo de prototipo físico (HW)</t>
  </si>
  <si>
    <t>Desarrollo de backend (API / lógica de negocio)</t>
  </si>
  <si>
    <t>Desarrollo de frontend / app móvil</t>
  </si>
  <si>
    <t>Integración HW–SW</t>
  </si>
  <si>
    <t>Documentación técnica</t>
  </si>
  <si>
    <t>IMPLEMENTACION</t>
  </si>
  <si>
    <t>Pruebas unitarias</t>
  </si>
  <si>
    <t>Pruebas de integración</t>
  </si>
  <si>
    <t>Pruebas con usuarios finales</t>
  </si>
  <si>
    <t>Corrección de errores</t>
  </si>
  <si>
    <t>EVALUACION</t>
  </si>
  <si>
    <t>Evaluación de desempeño del prototipo</t>
  </si>
  <si>
    <t>Informe final de evaluación</t>
  </si>
  <si>
    <t>Presentación y cierre del proyecto</t>
  </si>
  <si>
    <t xml:space="preserve">Costos de Hardware </t>
  </si>
  <si>
    <t>Costos de Software</t>
  </si>
  <si>
    <t>Costos de Recurso Humano (estimado por 4 meses de desarrollo)</t>
  </si>
  <si>
    <t>opciones de los pc para el equipo de desarrollo</t>
  </si>
  <si>
    <t>Cantidad</t>
  </si>
  <si>
    <t>Precio unitario (COP)</t>
  </si>
  <si>
    <t>Subtotal (COP)</t>
  </si>
  <si>
    <t>Herramienta</t>
  </si>
  <si>
    <t>Tipo</t>
  </si>
  <si>
    <t>Costo estimado</t>
  </si>
  <si>
    <t>Rol</t>
  </si>
  <si>
    <t>Tiempo (meses)</t>
  </si>
  <si>
    <t>Costo mensual aprox. (COP)</t>
  </si>
  <si>
    <t>Característica</t>
  </si>
  <si>
    <t xml:space="preserve">Opción 1: Gama de entrada </t>
  </si>
  <si>
    <t xml:space="preserve">Opción 2: Gama media </t>
  </si>
  <si>
    <t xml:space="preserve">Opción 3: Gama alta </t>
  </si>
  <si>
    <t>ESP32 (WiFi + Bluetooth)</t>
  </si>
  <si>
    <t>Arduino IDE</t>
  </si>
  <si>
    <t>Libre</t>
  </si>
  <si>
    <t>lider</t>
  </si>
  <si>
    <t>Rango de precios (COP)</t>
  </si>
  <si>
    <t>$2.000.000 – $3.500.000</t>
  </si>
  <si>
    <t>$3.500.000 – $6.000.000</t>
  </si>
  <si>
    <t>$8.000.000 – $15.000.000+</t>
  </si>
  <si>
    <t>Sensor de corriente SCT-013 (hasta 100A)</t>
  </si>
  <si>
    <t>Visual Studio Code</t>
  </si>
  <si>
    <t>Desarrollador de software</t>
  </si>
  <si>
    <t>Procesador (CPU)</t>
  </si>
  <si>
    <t>Intel Core i5 / AMD Ryzen 5</t>
  </si>
  <si>
    <t>Intel Core i7 / AMD Ryzen 7</t>
  </si>
  <si>
    <t>Intel Core i9 / AMD Ryzen 9</t>
  </si>
  <si>
    <t>Fuente de alimentación 5V / 2A</t>
  </si>
  <si>
    <t>Firebase</t>
  </si>
  <si>
    <t>Plan gratuito (Spark)</t>
  </si>
  <si>
    <t>gestor de bases de datos</t>
  </si>
  <si>
    <t>Memoria RAM</t>
  </si>
  <si>
    <t>16 GB DDR4</t>
  </si>
  <si>
    <t>32 GB DDR4</t>
  </si>
  <si>
    <t>64 GB DDR4/DDR5</t>
  </si>
  <si>
    <t>Protoboard + cables Dupont</t>
  </si>
  <si>
    <t>1 set</t>
  </si>
  <si>
    <t>Opcional (plan pago Firebase)</t>
  </si>
  <si>
    <t>$20.000 – $40.000/mes si se escala el proyecto</t>
  </si>
  <si>
    <t>analista</t>
  </si>
  <si>
    <t>Almacenamiento</t>
  </si>
  <si>
    <t>512 GB SSD (SATA/NVMe)</t>
  </si>
  <si>
    <t>1 TB SSD</t>
  </si>
  <si>
    <t>2 TB SSD NVMe</t>
  </si>
  <si>
    <t>Resistencias, capacitores y componentes varios</t>
  </si>
  <si>
    <t>Total recurso humano</t>
  </si>
  <si>
    <t>–</t>
  </si>
  <si>
    <t>Tarjeta gráfica (GPU)</t>
  </si>
  <si>
    <t>Integrada</t>
  </si>
  <si>
    <t>Integrada o dedicada de gama baja (RTX 3050 / RX 6600)</t>
  </si>
  <si>
    <t>Dedicada de gama alta (RTX 4080 o superior)</t>
  </si>
  <si>
    <t>Caja o carcasa plástica (prototipo)</t>
  </si>
  <si>
    <t>Justificación de costos</t>
  </si>
  <si>
    <t>Componentes accesibles y estándar. No requiere GPU dedicada.</t>
  </si>
  <si>
    <t>Mayor RAM, CPU más potente, almacenamiento ampliado. Posible inclusión de GPU de gama baja.</t>
  </si>
  <si>
    <t>Componentes premium: CPU extremo, RAM de gran capacidad, SSD NVMe grande y GPU de última generación.</t>
  </si>
  <si>
    <t>costos pc del equipo de desarrollo</t>
  </si>
  <si>
    <t>Ejemplos de referencia</t>
  </si>
  <si>
    <t>Clones y Periféricos, Mercado Libre, Todo Tintas y Suministros</t>
  </si>
  <si>
    <t>Falabella, Mercado Libre, PC Ware Colombia</t>
  </si>
  <si>
    <t>Mercado Libre, PC Gamer Tiendas Especializadas, Distribuidores de hardware premium</t>
  </si>
  <si>
    <t>costos cel del equipo de desarrollo</t>
  </si>
  <si>
    <t>opcion elegida</t>
  </si>
  <si>
    <t>la opción de gama media es la más adecuada porque ofrece un equilibrio entre rendimiento, capacidad de expansión y costo, garantizando que el proyecto de monitoreo eléctrico pueda desarrollarse de manera eficiente y con proyección a futuro.</t>
  </si>
  <si>
    <t>Total aproximado hardware</t>
  </si>
  <si>
    <t>total</t>
  </si>
  <si>
    <t xml:space="preserve">$10'500.000 </t>
  </si>
  <si>
    <t>opcion de celular para desarrolladores</t>
  </si>
  <si>
    <t>Modelo</t>
  </si>
  <si>
    <t>Rango de precio (COP)</t>
  </si>
  <si>
    <t>Fuente/Referencia</t>
  </si>
  <si>
    <t>Xiaomi Redmi 13</t>
  </si>
  <si>
    <t>$450.000 – $700.000</t>
  </si>
  <si>
    <t>Mercado Libre y otras tiendas en línea</t>
  </si>
  <si>
    <t>Samsung Galaxy A55</t>
  </si>
  <si>
    <t>$1.600.000 – $2.200.000</t>
  </si>
  <si>
    <t>Tiendas oficiales de operadores y minoristas (Mercado Libre, Movistar)</t>
  </si>
  <si>
    <t>Apple iPhone 15 Pro (128 GB)</t>
  </si>
  <si>
    <t>$4.500.000 – $5.000.000</t>
  </si>
  <si>
    <t>Principales distribuidores oficiales (Mercado Libre, Movistar)</t>
  </si>
  <si>
    <t>el Xiaomi Redmi 13 es la mejor elección porque combina bajo costo, compatibilidad tecnológica y accesibilidad en el mercado, cumpliendo con los requerimientos del proyecto sin generar gastos excesivos.</t>
  </si>
  <si>
    <t>Celulares para Usuarios</t>
  </si>
  <si>
    <t>Laptops para Usuarios</t>
  </si>
  <si>
    <r>
      <rPr>
        <rFont val="Calibri"/>
        <b/>
        <color theme="1"/>
        <sz val="11.0"/>
      </rPr>
      <t>HP 240 G9</t>
    </r>
    <r>
      <rPr>
        <rFont val="Calibri"/>
        <b val="0"/>
        <color theme="1"/>
        <sz val="11.0"/>
      </rPr>
      <t xml:space="preserve"> (Core i5, 8 GB RAM, 512 GB SSD)</t>
    </r>
  </si>
  <si>
    <t>$2.500.000 – $2.900.000</t>
  </si>
  <si>
    <t>HP Store Colombia, Mercado Libre</t>
  </si>
  <si>
    <r>
      <rPr>
        <rFont val="Calibri"/>
        <b/>
        <color theme="1"/>
        <sz val="11.0"/>
      </rPr>
      <t>Dell Inspiron 15</t>
    </r>
    <r>
      <rPr>
        <rFont val="Calibri"/>
        <b val="0"/>
        <color theme="1"/>
        <sz val="11.0"/>
      </rPr>
      <t xml:space="preserve"> (Core i5, 8 GB RAM)</t>
    </r>
  </si>
  <si>
    <t>$1.800.000 – $2.500.000</t>
  </si>
  <si>
    <t>Dell.es (referencia), Mercado Libre</t>
  </si>
  <si>
    <r>
      <rPr>
        <rFont val="Calibri"/>
        <b/>
        <color theme="1"/>
        <sz val="11.0"/>
      </rPr>
      <t>Apple MacBook Air M2</t>
    </r>
    <r>
      <rPr>
        <rFont val="Calibri"/>
        <b val="0"/>
        <color theme="1"/>
        <sz val="11.0"/>
      </rPr>
      <t xml:space="preserve"> (8 GB RAM, 256 GB SSD)</t>
    </r>
  </si>
  <si>
    <t>$4.000.000 – $4.500.000</t>
  </si>
  <si>
    <t>Éxito, Mercado Libre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</si>
</sst>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[$$-240A]\ * #,##0.00_-;\-[$$-240A]\ * #,##0.00_-;_-[$$-240A]\ * &quot;-&quot;??_-;_-@"/>
    <numFmt numFmtId="165" formatCode="_-&quot;$&quot;\ * #,##0.0_-;\-&quot;$&quot;\ * #,##0.0_-;_-&quot;$&quot;\ * &quot;-&quot;?_-;_-@"/>
    <numFmt numFmtId="166" formatCode="&quot;$&quot;\ #,##0;[Red]\-&quot;$&quot;\ #,##0"/>
  </numFmts>
  <fonts count="10">
    <font>
      <sz val="11.0"/>
      <color theme="1"/>
      <name val="Calibri"/>
      <scheme val="minor"/>
    </font>
    <font>
      <sz val="11.0"/>
      <color theme="1"/>
      <name val="Calibri"/>
    </font>
    <font/>
    <font>
      <sz val="11.0"/>
      <color rgb="FF000000"/>
      <name val="Calibri"/>
    </font>
    <font>
      <b/>
      <sz val="18.0"/>
      <color theme="1"/>
      <name val="Calibri"/>
    </font>
    <font>
      <b/>
      <sz val="14.0"/>
      <color theme="1"/>
      <name val="Calibri"/>
    </font>
    <font>
      <b/>
      <sz val="14.0"/>
      <color theme="1"/>
      <name val="Aptos"/>
    </font>
    <font>
      <b/>
      <sz val="11.0"/>
      <color rgb="FF000000"/>
      <name val="Calibri"/>
    </font>
    <font>
      <b/>
      <sz val="11.0"/>
      <color theme="1"/>
      <name val="Calibri"/>
    </font>
    <font>
      <b/>
      <sz val="16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7030A0"/>
        <bgColor rgb="FF7030A0"/>
      </patternFill>
    </fill>
    <fill>
      <patternFill patternType="solid">
        <fgColor rgb="FF548135"/>
        <bgColor rgb="FF548135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2" fontId="1" numFmtId="0" xfId="0" applyBorder="1" applyFill="1" applyFont="1"/>
    <xf borderId="3" fillId="0" fontId="1" numFmtId="0" xfId="0" applyBorder="1" applyFont="1"/>
    <xf borderId="3" fillId="0" fontId="1" numFmtId="164" xfId="0" applyAlignment="1" applyBorder="1" applyFont="1" applyNumberFormat="1">
      <alignment horizontal="right"/>
    </xf>
    <xf borderId="3" fillId="0" fontId="1" numFmtId="165" xfId="0" applyBorder="1" applyFont="1" applyNumberFormat="1"/>
    <xf borderId="3" fillId="3" fontId="1" numFmtId="165" xfId="0" applyBorder="1" applyFill="1" applyFont="1" applyNumberFormat="1"/>
    <xf borderId="1" fillId="0" fontId="3" numFmtId="0" xfId="0" applyAlignment="1" applyBorder="1" applyFont="1">
      <alignment horizontal="center" readingOrder="0" shrinkToFit="0" vertical="bottom" wrapText="0"/>
    </xf>
    <xf borderId="4" fillId="0" fontId="2" numFmtId="0" xfId="0" applyBorder="1" applyFont="1"/>
    <xf borderId="3" fillId="0" fontId="3" numFmtId="0" xfId="0" applyAlignment="1" applyBorder="1" applyFont="1">
      <alignment horizontal="right" readingOrder="0" shrinkToFit="0" vertical="bottom" wrapText="0"/>
    </xf>
    <xf borderId="5" fillId="0" fontId="1" numFmtId="0" xfId="0" applyAlignment="1" applyBorder="1" applyFont="1">
      <alignment horizontal="center" vertical="center"/>
    </xf>
    <xf borderId="3" fillId="4" fontId="1" numFmtId="0" xfId="0" applyBorder="1" applyFill="1" applyFont="1"/>
    <xf borderId="3" fillId="4" fontId="3" numFmtId="0" xfId="0" applyAlignment="1" applyBorder="1" applyFont="1">
      <alignment shrinkToFit="0" vertical="bottom" wrapText="0"/>
    </xf>
    <xf borderId="3" fillId="0" fontId="3" numFmtId="0" xfId="0" applyAlignment="1" applyBorder="1" applyFont="1">
      <alignment shrinkToFit="0" vertical="bottom" wrapText="0"/>
    </xf>
    <xf borderId="6" fillId="0" fontId="2" numFmtId="0" xfId="0" applyBorder="1" applyFont="1"/>
    <xf borderId="7" fillId="0" fontId="2" numFmtId="0" xfId="0" applyBorder="1" applyFont="1"/>
    <xf borderId="8" fillId="4" fontId="1" numFmtId="0" xfId="0" applyBorder="1" applyFont="1"/>
    <xf borderId="3" fillId="5" fontId="1" numFmtId="0" xfId="0" applyBorder="1" applyFill="1" applyFont="1"/>
    <xf borderId="3" fillId="5" fontId="3" numFmtId="0" xfId="0" applyAlignment="1" applyBorder="1" applyFont="1">
      <alignment shrinkToFit="0" vertical="bottom" wrapText="0"/>
    </xf>
    <xf borderId="3" fillId="5" fontId="1" numFmtId="0" xfId="0" applyAlignment="1" applyBorder="1" applyFont="1">
      <alignment shrinkToFit="0" wrapText="1"/>
    </xf>
    <xf borderId="3" fillId="6" fontId="1" numFmtId="0" xfId="0" applyBorder="1" applyFill="1" applyFont="1"/>
    <xf borderId="3" fillId="6" fontId="3" numFmtId="0" xfId="0" applyAlignment="1" applyBorder="1" applyFont="1">
      <alignment shrinkToFit="0" vertical="bottom" wrapText="0"/>
    </xf>
    <xf borderId="3" fillId="6" fontId="1" numFmtId="0" xfId="0" applyAlignment="1" applyBorder="1" applyFont="1">
      <alignment shrinkToFit="0" wrapText="1"/>
    </xf>
    <xf borderId="8" fillId="7" fontId="1" numFmtId="0" xfId="0" applyBorder="1" applyFill="1" applyFont="1"/>
    <xf borderId="3" fillId="7" fontId="3" numFmtId="0" xfId="0" applyAlignment="1" applyBorder="1" applyFont="1">
      <alignment shrinkToFit="0" vertical="bottom" wrapText="0"/>
    </xf>
    <xf borderId="3" fillId="7" fontId="1" numFmtId="0" xfId="0" applyBorder="1" applyFont="1"/>
    <xf borderId="3" fillId="8" fontId="1" numFmtId="0" xfId="0" applyBorder="1" applyFill="1" applyFont="1"/>
    <xf borderId="3" fillId="8" fontId="3" numFmtId="0" xfId="0" applyAlignment="1" applyBorder="1" applyFont="1">
      <alignment shrinkToFit="0" vertical="bottom" wrapText="0"/>
    </xf>
    <xf borderId="3" fillId="8" fontId="1" numFmtId="0" xfId="0" applyAlignment="1" applyBorder="1" applyFont="1">
      <alignment shrinkToFit="0" wrapText="1"/>
    </xf>
    <xf borderId="1" fillId="9" fontId="4" numFmtId="0" xfId="0" applyAlignment="1" applyBorder="1" applyFill="1" applyFont="1">
      <alignment horizontal="center"/>
    </xf>
    <xf borderId="1" fillId="9" fontId="5" numFmtId="0" xfId="0" applyAlignment="1" applyBorder="1" applyFont="1">
      <alignment horizontal="center"/>
    </xf>
    <xf borderId="9" fillId="9" fontId="6" numFmtId="0" xfId="0" applyAlignment="1" applyBorder="1" applyFont="1">
      <alignment shrinkToFit="0" vertical="center" wrapText="1"/>
    </xf>
    <xf borderId="10" fillId="9" fontId="7" numFmtId="0" xfId="0" applyAlignment="1" applyBorder="1" applyFont="1">
      <alignment horizontal="center" shrinkToFit="0" vertical="center" wrapText="1"/>
    </xf>
    <xf borderId="9" fillId="9" fontId="7" numFmtId="0" xfId="0" applyAlignment="1" applyBorder="1" applyFont="1">
      <alignment horizontal="center" shrinkToFit="0" vertical="center" wrapText="1"/>
    </xf>
    <xf borderId="11" fillId="9" fontId="7" numFmtId="0" xfId="0" applyAlignment="1" applyBorder="1" applyFont="1">
      <alignment horizontal="center" shrinkToFit="0" vertical="center" wrapText="1"/>
    </xf>
    <xf borderId="3" fillId="9" fontId="8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shrinkToFit="0" vertical="center" wrapText="1"/>
    </xf>
    <xf borderId="13" fillId="0" fontId="3" numFmtId="0" xfId="0" applyAlignment="1" applyBorder="1" applyFont="1">
      <alignment horizontal="right" shrinkToFit="0" vertical="center" wrapText="1"/>
    </xf>
    <xf borderId="13" fillId="0" fontId="3" numFmtId="166" xfId="0" applyAlignment="1" applyBorder="1" applyFont="1" applyNumberFormat="1">
      <alignment horizontal="right" shrinkToFit="0" vertical="center" wrapText="1"/>
    </xf>
    <xf borderId="13" fillId="0" fontId="3" numFmtId="0" xfId="0" applyAlignment="1" applyBorder="1" applyFont="1">
      <alignment shrinkToFit="0" vertical="center" wrapText="1"/>
    </xf>
    <xf borderId="13" fillId="0" fontId="3" numFmtId="0" xfId="0" applyAlignment="1" applyBorder="1" applyFont="1">
      <alignment horizontal="right" readingOrder="0" shrinkToFit="0" vertical="center" wrapText="1"/>
    </xf>
    <xf borderId="14" fillId="0" fontId="3" numFmtId="166" xfId="0" applyAlignment="1" applyBorder="1" applyFont="1" applyNumberFormat="1">
      <alignment horizontal="right" shrinkToFit="0" vertical="center" wrapText="1"/>
    </xf>
    <xf borderId="3" fillId="0" fontId="8" numFmtId="166" xfId="0" applyAlignment="1" applyBorder="1" applyFont="1" applyNumberFormat="1">
      <alignment readingOrder="0"/>
    </xf>
    <xf borderId="3" fillId="0" fontId="8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0" fillId="0" fontId="3" numFmtId="166" xfId="0" applyAlignment="1" applyFont="1" applyNumberFormat="1">
      <alignment horizontal="right" shrinkToFit="0" vertical="center" wrapText="1"/>
    </xf>
    <xf borderId="5" fillId="0" fontId="8" numFmtId="166" xfId="0" applyAlignment="1" applyBorder="1" applyFont="1" applyNumberFormat="1">
      <alignment horizontal="right" readingOrder="0" vertical="center"/>
    </xf>
    <xf borderId="14" fillId="0" fontId="3" numFmtId="0" xfId="0" applyAlignment="1" applyBorder="1" applyFon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8" numFmtId="3" xfId="0" applyAlignment="1" applyBorder="1" applyFont="1" applyNumberFormat="1">
      <alignment vertical="center"/>
    </xf>
    <xf borderId="13" fillId="0" fontId="3" numFmtId="166" xfId="0" applyAlignment="1" applyBorder="1" applyFont="1" applyNumberFormat="1">
      <alignment shrinkToFit="0" vertical="center" wrapText="1"/>
    </xf>
    <xf borderId="14" fillId="0" fontId="3" numFmtId="0" xfId="0" applyAlignment="1" applyBorder="1" applyFont="1">
      <alignment horizontal="right" readingOrder="0" shrinkToFit="0" vertical="center" wrapText="1"/>
    </xf>
    <xf borderId="3" fillId="0" fontId="8" numFmtId="3" xfId="0" applyAlignment="1" applyBorder="1" applyFont="1" applyNumberFormat="1">
      <alignment readingOrder="0" vertical="center"/>
    </xf>
    <xf borderId="14" fillId="0" fontId="3" numFmtId="0" xfId="0" applyAlignment="1" applyBorder="1" applyFont="1">
      <alignment shrinkToFit="0" vertical="center" wrapText="1"/>
    </xf>
    <xf borderId="7" fillId="0" fontId="8" numFmtId="166" xfId="0" applyAlignment="1" applyBorder="1" applyFont="1" applyNumberFormat="1">
      <alignment readingOrder="0"/>
    </xf>
    <xf borderId="15" fillId="0" fontId="7" numFmtId="0" xfId="0" applyAlignment="1" applyBorder="1" applyFont="1">
      <alignment shrinkToFit="0" vertical="center" wrapText="1"/>
    </xf>
    <xf borderId="16" fillId="0" fontId="3" numFmtId="0" xfId="0" applyAlignment="1" applyBorder="1" applyFont="1">
      <alignment shrinkToFit="0" vertical="center" wrapText="1"/>
    </xf>
    <xf borderId="16" fillId="0" fontId="3" numFmtId="0" xfId="0" applyAlignment="1" applyBorder="1" applyFont="1">
      <alignment horizontal="right" shrinkToFit="0" vertical="center" wrapText="1"/>
    </xf>
    <xf borderId="16" fillId="0" fontId="7" numFmtId="0" xfId="0" applyAlignment="1" applyBorder="1" applyFont="1">
      <alignment horizontal="right" shrinkToFit="0" vertical="center" wrapText="1"/>
    </xf>
    <xf borderId="3" fillId="0" fontId="8" numFmtId="0" xfId="0" applyBorder="1" applyFont="1"/>
    <xf borderId="3" fillId="0" fontId="8" numFmtId="166" xfId="0" applyAlignment="1" applyBorder="1" applyFont="1" applyNumberFormat="1">
      <alignment horizontal="right" shrinkToFit="0" vertical="center" wrapText="1"/>
    </xf>
    <xf borderId="3" fillId="0" fontId="8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left" shrinkToFit="0" vertical="center" wrapText="1"/>
    </xf>
    <xf borderId="13" fillId="0" fontId="7" numFmtId="3" xfId="0" applyAlignment="1" applyBorder="1" applyFont="1" applyNumberFormat="1">
      <alignment horizontal="right" shrinkToFit="0" vertical="center" wrapText="1"/>
    </xf>
    <xf borderId="3" fillId="0" fontId="8" numFmtId="0" xfId="0" applyAlignment="1" applyBorder="1" applyFont="1">
      <alignment horizontal="right"/>
    </xf>
    <xf borderId="7" fillId="0" fontId="1" numFmtId="166" xfId="0" applyBorder="1" applyFont="1" applyNumberFormat="1"/>
    <xf borderId="0" fillId="0" fontId="1" numFmtId="0" xfId="0" applyFont="1"/>
    <xf borderId="1" fillId="9" fontId="9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28.14"/>
    <col customWidth="1" min="4" max="26" width="10.71"/>
  </cols>
  <sheetData>
    <row r="1" ht="14.25" customHeight="1"/>
    <row r="2" ht="14.25" customHeight="1">
      <c r="B2" s="1" t="s">
        <v>0</v>
      </c>
      <c r="C2" s="2"/>
    </row>
    <row r="3" ht="14.25" customHeight="1">
      <c r="B3" s="3" t="s">
        <v>1</v>
      </c>
      <c r="C3" s="3" t="s">
        <v>2</v>
      </c>
    </row>
    <row r="4" ht="14.25" customHeight="1">
      <c r="B4" s="4" t="s">
        <v>3</v>
      </c>
      <c r="C4" s="5">
        <f>'costos del equipo de trabajo'!E12</f>
        <v>11105000</v>
      </c>
    </row>
    <row r="5" ht="14.25" customHeight="1">
      <c r="B5" s="4" t="s">
        <v>4</v>
      </c>
      <c r="C5" s="6">
        <f>'costos del equipo de trabajo'!I7</f>
        <v>240000</v>
      </c>
    </row>
    <row r="6" ht="14.25" customHeight="1">
      <c r="B6" s="4" t="s">
        <v>5</v>
      </c>
      <c r="C6" s="6">
        <f>'costos del equipo de trabajo'!O8</f>
        <v>44700000</v>
      </c>
    </row>
    <row r="7" ht="14.25" customHeight="1">
      <c r="B7" s="4" t="s">
        <v>6</v>
      </c>
      <c r="C7" s="6">
        <v>0.0</v>
      </c>
    </row>
    <row r="8" ht="14.25" customHeight="1">
      <c r="C8" s="7">
        <f>SUM(C4:C6)</f>
        <v>56045000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B2:C2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24.71"/>
    <col customWidth="1" min="4" max="4" width="5.29"/>
    <col customWidth="1" min="5" max="5" width="5.14"/>
    <col customWidth="1" min="6" max="6" width="5.0"/>
    <col customWidth="1" min="7" max="7" width="5.43"/>
    <col customWidth="1" min="8" max="9" width="5.29"/>
    <col customWidth="1" min="10" max="10" width="5.14"/>
    <col customWidth="1" min="11" max="13" width="5.29"/>
    <col customWidth="1" min="14" max="15" width="5.0"/>
    <col customWidth="1" min="16" max="17" width="5.29"/>
    <col customWidth="1" min="18" max="18" width="5.0"/>
    <col customWidth="1" min="19" max="19" width="5.29"/>
    <col customWidth="1" min="20" max="20" width="5.14"/>
    <col customWidth="1" min="21" max="26" width="5.29"/>
    <col customWidth="1" min="27" max="31" width="5.43"/>
  </cols>
  <sheetData>
    <row r="1" ht="14.25" customHeight="1"/>
    <row r="2" ht="14.25" customHeight="1">
      <c r="D2" s="8" t="s">
        <v>7</v>
      </c>
      <c r="E2" s="9"/>
      <c r="F2" s="9"/>
      <c r="G2" s="2"/>
      <c r="H2" s="8" t="s">
        <v>8</v>
      </c>
      <c r="I2" s="9"/>
      <c r="J2" s="9"/>
      <c r="K2" s="2"/>
      <c r="L2" s="8" t="s">
        <v>9</v>
      </c>
      <c r="M2" s="9"/>
      <c r="N2" s="9"/>
      <c r="O2" s="2"/>
      <c r="P2" s="8" t="s">
        <v>10</v>
      </c>
      <c r="Q2" s="9"/>
      <c r="R2" s="9"/>
      <c r="S2" s="2"/>
      <c r="T2" s="8" t="s">
        <v>11</v>
      </c>
      <c r="U2" s="9"/>
      <c r="V2" s="9"/>
      <c r="W2" s="2"/>
      <c r="X2" s="8" t="s">
        <v>12</v>
      </c>
      <c r="Y2" s="9"/>
      <c r="Z2" s="9"/>
      <c r="AA2" s="2"/>
      <c r="AB2" s="8" t="s">
        <v>13</v>
      </c>
      <c r="AC2" s="9"/>
      <c r="AD2" s="9"/>
      <c r="AE2" s="2"/>
    </row>
    <row r="3" ht="14.25" customHeight="1">
      <c r="D3" s="10">
        <v>1.0</v>
      </c>
      <c r="E3" s="10">
        <v>2.0</v>
      </c>
      <c r="F3" s="10">
        <v>3.0</v>
      </c>
      <c r="G3" s="10">
        <v>4.0</v>
      </c>
      <c r="H3" s="10">
        <v>1.0</v>
      </c>
      <c r="I3" s="10">
        <v>2.0</v>
      </c>
      <c r="J3" s="10">
        <v>3.0</v>
      </c>
      <c r="K3" s="10">
        <v>4.0</v>
      </c>
      <c r="L3" s="10">
        <v>1.0</v>
      </c>
      <c r="M3" s="10">
        <v>2.0</v>
      </c>
      <c r="N3" s="10">
        <v>3.0</v>
      </c>
      <c r="O3" s="10">
        <v>4.0</v>
      </c>
      <c r="P3" s="10">
        <v>1.0</v>
      </c>
      <c r="Q3" s="10">
        <v>2.0</v>
      </c>
      <c r="R3" s="10">
        <v>3.0</v>
      </c>
      <c r="S3" s="10">
        <v>4.0</v>
      </c>
      <c r="T3" s="10">
        <v>1.0</v>
      </c>
      <c r="U3" s="10">
        <v>2.0</v>
      </c>
      <c r="V3" s="10">
        <v>3.0</v>
      </c>
      <c r="W3" s="10">
        <v>4.0</v>
      </c>
      <c r="X3" s="10">
        <v>1.0</v>
      </c>
      <c r="Y3" s="10">
        <v>2.0</v>
      </c>
      <c r="Z3" s="10">
        <v>3.0</v>
      </c>
      <c r="AA3" s="10">
        <v>4.0</v>
      </c>
      <c r="AB3" s="10">
        <v>1.0</v>
      </c>
      <c r="AC3" s="10">
        <v>2.0</v>
      </c>
      <c r="AD3" s="10">
        <v>3.0</v>
      </c>
      <c r="AE3" s="10">
        <v>4.0</v>
      </c>
    </row>
    <row r="4" ht="14.25" customHeight="1">
      <c r="B4" s="11" t="s">
        <v>14</v>
      </c>
      <c r="C4" s="12" t="s">
        <v>15</v>
      </c>
      <c r="D4" s="13"/>
      <c r="E4" s="13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ht="14.25" customHeight="1">
      <c r="B5" s="15"/>
      <c r="C5" s="12" t="s">
        <v>16</v>
      </c>
      <c r="D5" s="14"/>
      <c r="E5" s="14"/>
      <c r="F5" s="13"/>
      <c r="G5" s="13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ht="14.25" customHeight="1">
      <c r="B6" s="15"/>
      <c r="C6" s="12" t="s">
        <v>17</v>
      </c>
      <c r="D6" s="14"/>
      <c r="E6" s="14"/>
      <c r="F6" s="14"/>
      <c r="G6" s="14"/>
      <c r="H6" s="1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ht="14.25" customHeight="1">
      <c r="B7" s="16"/>
      <c r="C7" s="17" t="s">
        <v>18</v>
      </c>
      <c r="D7" s="14"/>
      <c r="E7" s="14"/>
      <c r="F7" s="14"/>
      <c r="G7" s="14"/>
      <c r="H7" s="14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ht="14.25" customHeight="1">
      <c r="B8" s="11" t="s">
        <v>19</v>
      </c>
      <c r="C8" s="18" t="s">
        <v>20</v>
      </c>
      <c r="D8" s="14"/>
      <c r="E8" s="14"/>
      <c r="F8" s="14"/>
      <c r="G8" s="14"/>
      <c r="H8" s="14"/>
      <c r="I8" s="14"/>
      <c r="J8" s="19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ht="14.25" customHeight="1">
      <c r="B9" s="15"/>
      <c r="C9" s="18" t="s">
        <v>21</v>
      </c>
      <c r="D9" s="14"/>
      <c r="E9" s="14"/>
      <c r="F9" s="14"/>
      <c r="G9" s="14"/>
      <c r="H9" s="14"/>
      <c r="I9" s="14"/>
      <c r="J9" s="14"/>
      <c r="K9" s="19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ht="14.25" customHeight="1">
      <c r="B10" s="15"/>
      <c r="C10" s="18" t="s">
        <v>22</v>
      </c>
      <c r="D10" s="14"/>
      <c r="E10" s="14"/>
      <c r="F10" s="14"/>
      <c r="G10" s="14"/>
      <c r="H10" s="14"/>
      <c r="I10" s="14"/>
      <c r="J10" s="14"/>
      <c r="K10" s="14"/>
      <c r="L10" s="19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ht="29.25" customHeight="1">
      <c r="B11" s="16"/>
      <c r="C11" s="20" t="s">
        <v>23</v>
      </c>
      <c r="D11" s="14"/>
      <c r="E11" s="14"/>
      <c r="F11" s="14"/>
      <c r="G11" s="14"/>
      <c r="H11" s="14"/>
      <c r="I11" s="14"/>
      <c r="J11" s="14"/>
      <c r="K11" s="14"/>
      <c r="L11" s="14"/>
      <c r="M11" s="19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ht="14.25" customHeight="1">
      <c r="B12" s="11" t="s">
        <v>24</v>
      </c>
      <c r="C12" s="21" t="s">
        <v>25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ht="28.5" customHeight="1">
      <c r="B13" s="15"/>
      <c r="C13" s="23" t="s">
        <v>26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22"/>
      <c r="O13" s="22"/>
      <c r="P13" s="22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ht="31.5" customHeight="1">
      <c r="B14" s="15"/>
      <c r="C14" s="23" t="s">
        <v>27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22"/>
      <c r="Q14" s="22"/>
      <c r="R14" s="22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ht="28.5" customHeight="1">
      <c r="B15" s="15"/>
      <c r="C15" s="23" t="s">
        <v>28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22"/>
      <c r="S15" s="22"/>
      <c r="T15" s="22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ht="14.25" customHeight="1">
      <c r="B16" s="15"/>
      <c r="C16" s="21" t="s">
        <v>29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22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ht="14.25" customHeight="1">
      <c r="B17" s="16"/>
      <c r="C17" s="21" t="s">
        <v>30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22"/>
      <c r="W17" s="14"/>
      <c r="X17" s="14"/>
      <c r="Y17" s="14"/>
      <c r="Z17" s="14"/>
      <c r="AA17" s="14"/>
      <c r="AB17" s="14"/>
      <c r="AC17" s="14"/>
      <c r="AD17" s="14"/>
      <c r="AE17" s="14"/>
    </row>
    <row r="18" ht="14.25" customHeight="1">
      <c r="B18" s="11" t="s">
        <v>31</v>
      </c>
      <c r="C18" s="24" t="s">
        <v>32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25"/>
      <c r="X18" s="14"/>
      <c r="Y18" s="14"/>
      <c r="Z18" s="14"/>
      <c r="AA18" s="14"/>
      <c r="AB18" s="14"/>
      <c r="AC18" s="14"/>
      <c r="AD18" s="14"/>
      <c r="AE18" s="14"/>
    </row>
    <row r="19" ht="14.25" customHeight="1">
      <c r="B19" s="15"/>
      <c r="C19" s="26" t="s">
        <v>33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25"/>
      <c r="Y19" s="14"/>
      <c r="Z19" s="14"/>
      <c r="AA19" s="14"/>
      <c r="AB19" s="14"/>
      <c r="AC19" s="14"/>
      <c r="AD19" s="14"/>
      <c r="AE19" s="14"/>
    </row>
    <row r="20" ht="14.25" customHeight="1">
      <c r="B20" s="15"/>
      <c r="C20" s="26" t="s">
        <v>34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25"/>
      <c r="Z20" s="14"/>
      <c r="AA20" s="14"/>
      <c r="AB20" s="14"/>
      <c r="AC20" s="14"/>
      <c r="AD20" s="14"/>
      <c r="AE20" s="14"/>
    </row>
    <row r="21" ht="14.25" customHeight="1">
      <c r="B21" s="16"/>
      <c r="C21" s="26" t="s">
        <v>35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25"/>
      <c r="AA21" s="14"/>
      <c r="AB21" s="14"/>
      <c r="AC21" s="14"/>
      <c r="AD21" s="14"/>
      <c r="AE21" s="14"/>
    </row>
    <row r="22" ht="14.25" customHeight="1">
      <c r="B22" s="11" t="s">
        <v>36</v>
      </c>
      <c r="C22" s="27" t="s">
        <v>18</v>
      </c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28"/>
      <c r="AB22" s="28"/>
      <c r="AC22" s="14"/>
      <c r="AD22" s="14"/>
      <c r="AE22" s="14"/>
    </row>
    <row r="23" ht="27.75" customHeight="1">
      <c r="B23" s="15"/>
      <c r="C23" s="29" t="s">
        <v>37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28"/>
      <c r="AC23" s="28"/>
      <c r="AD23" s="14"/>
      <c r="AE23" s="14"/>
    </row>
    <row r="24" ht="14.25" customHeight="1">
      <c r="B24" s="15"/>
      <c r="C24" s="27" t="s">
        <v>38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28"/>
      <c r="AE24" s="14"/>
    </row>
    <row r="25" ht="28.5" customHeight="1">
      <c r="B25" s="16"/>
      <c r="C25" s="29" t="s">
        <v>39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28"/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2">
    <mergeCell ref="B4:B7"/>
    <mergeCell ref="B8:B11"/>
    <mergeCell ref="B12:B17"/>
    <mergeCell ref="B18:B21"/>
    <mergeCell ref="B22:B25"/>
    <mergeCell ref="D2:G2"/>
    <mergeCell ref="H2:K2"/>
    <mergeCell ref="L2:O2"/>
    <mergeCell ref="P2:S2"/>
    <mergeCell ref="T2:W2"/>
    <mergeCell ref="X2:AA2"/>
    <mergeCell ref="AB2:AE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3.0"/>
    <col customWidth="1" min="3" max="3" width="10.71"/>
    <col customWidth="1" min="4" max="4" width="16.14"/>
    <col customWidth="1" min="5" max="5" width="13.0"/>
    <col customWidth="1" min="6" max="6" width="10.71"/>
    <col customWidth="1" min="7" max="8" width="22.71"/>
    <col customWidth="1" min="9" max="10" width="10.71"/>
    <col customWidth="1" min="11" max="11" width="22.71"/>
    <col customWidth="1" min="12" max="13" width="10.71"/>
    <col customWidth="1" min="14" max="14" width="15.43"/>
    <col customWidth="1" min="15" max="15" width="18.71"/>
    <col customWidth="1" min="16" max="16" width="10.71"/>
    <col customWidth="1" min="17" max="17" width="23.43"/>
    <col customWidth="1" min="18" max="18" width="21.86"/>
    <col customWidth="1" min="19" max="19" width="22.71"/>
    <col customWidth="1" min="20" max="20" width="23.29"/>
    <col customWidth="1" min="21" max="26" width="10.71"/>
  </cols>
  <sheetData>
    <row r="1" ht="14.25" customHeight="1"/>
    <row r="2" ht="14.25" customHeight="1">
      <c r="B2" s="30" t="s">
        <v>40</v>
      </c>
      <c r="C2" s="9"/>
      <c r="D2" s="9"/>
      <c r="E2" s="2"/>
      <c r="G2" s="30" t="s">
        <v>41</v>
      </c>
      <c r="H2" s="9"/>
      <c r="I2" s="2"/>
      <c r="K2" s="31" t="s">
        <v>42</v>
      </c>
      <c r="L2" s="9"/>
      <c r="M2" s="9"/>
      <c r="N2" s="9"/>
      <c r="O2" s="2"/>
      <c r="Q2" s="30" t="s">
        <v>43</v>
      </c>
      <c r="R2" s="9"/>
      <c r="S2" s="9"/>
      <c r="T2" s="2"/>
    </row>
    <row r="3" ht="57.75" customHeight="1">
      <c r="B3" s="32"/>
      <c r="C3" s="33" t="s">
        <v>44</v>
      </c>
      <c r="D3" s="33" t="s">
        <v>45</v>
      </c>
      <c r="E3" s="33" t="s">
        <v>46</v>
      </c>
      <c r="G3" s="34" t="s">
        <v>47</v>
      </c>
      <c r="H3" s="33" t="s">
        <v>48</v>
      </c>
      <c r="I3" s="33" t="s">
        <v>49</v>
      </c>
      <c r="K3" s="34" t="s">
        <v>50</v>
      </c>
      <c r="L3" s="33" t="s">
        <v>44</v>
      </c>
      <c r="M3" s="33" t="s">
        <v>51</v>
      </c>
      <c r="N3" s="33" t="s">
        <v>52</v>
      </c>
      <c r="O3" s="35" t="s">
        <v>46</v>
      </c>
      <c r="Q3" s="36" t="s">
        <v>53</v>
      </c>
      <c r="R3" s="36" t="s">
        <v>54</v>
      </c>
      <c r="S3" s="36" t="s">
        <v>55</v>
      </c>
      <c r="T3" s="36" t="s">
        <v>56</v>
      </c>
    </row>
    <row r="4" ht="14.25" customHeight="1">
      <c r="B4" s="37" t="s">
        <v>57</v>
      </c>
      <c r="C4" s="38">
        <v>1.0</v>
      </c>
      <c r="D4" s="39">
        <v>45000.0</v>
      </c>
      <c r="E4" s="39">
        <v>45000.0</v>
      </c>
      <c r="G4" s="37" t="s">
        <v>58</v>
      </c>
      <c r="H4" s="40" t="s">
        <v>59</v>
      </c>
      <c r="I4" s="39">
        <v>0.0</v>
      </c>
      <c r="K4" s="37" t="s">
        <v>60</v>
      </c>
      <c r="L4" s="38">
        <v>1.0</v>
      </c>
      <c r="M4" s="41">
        <v>7.0</v>
      </c>
      <c r="N4" s="42">
        <v>2000000.0</v>
      </c>
      <c r="O4" s="43">
        <v>1.4E7</v>
      </c>
      <c r="Q4" s="44" t="s">
        <v>61</v>
      </c>
      <c r="R4" s="45" t="s">
        <v>62</v>
      </c>
      <c r="S4" s="45" t="s">
        <v>63</v>
      </c>
      <c r="T4" s="45" t="s">
        <v>64</v>
      </c>
    </row>
    <row r="5" ht="43.5" customHeight="1">
      <c r="B5" s="37" t="s">
        <v>65</v>
      </c>
      <c r="C5" s="38">
        <v>1.0</v>
      </c>
      <c r="D5" s="39">
        <v>30000.0</v>
      </c>
      <c r="E5" s="39">
        <v>30000.0</v>
      </c>
      <c r="G5" s="37" t="s">
        <v>66</v>
      </c>
      <c r="H5" s="40" t="s">
        <v>59</v>
      </c>
      <c r="I5" s="39">
        <v>0.0</v>
      </c>
      <c r="K5" s="37" t="s">
        <v>67</v>
      </c>
      <c r="L5" s="38">
        <v>1.0</v>
      </c>
      <c r="M5" s="41">
        <v>7.0</v>
      </c>
      <c r="N5" s="46">
        <v>2500000.0</v>
      </c>
      <c r="O5" s="47">
        <v>1.75E7</v>
      </c>
      <c r="Q5" s="44" t="s">
        <v>68</v>
      </c>
      <c r="R5" s="45" t="s">
        <v>69</v>
      </c>
      <c r="S5" s="45" t="s">
        <v>70</v>
      </c>
      <c r="T5" s="45" t="s">
        <v>71</v>
      </c>
    </row>
    <row r="6" ht="14.25" customHeight="1">
      <c r="B6" s="37" t="s">
        <v>72</v>
      </c>
      <c r="C6" s="38">
        <v>1.0</v>
      </c>
      <c r="D6" s="39">
        <v>20000.0</v>
      </c>
      <c r="E6" s="39">
        <v>20000.0</v>
      </c>
      <c r="G6" s="37" t="s">
        <v>73</v>
      </c>
      <c r="H6" s="40" t="s">
        <v>74</v>
      </c>
      <c r="I6" s="39">
        <v>0.0</v>
      </c>
      <c r="K6" s="37" t="s">
        <v>75</v>
      </c>
      <c r="L6" s="38">
        <v>1.0</v>
      </c>
      <c r="M6" s="48">
        <v>4.0</v>
      </c>
      <c r="N6" s="49">
        <v>1200000.0</v>
      </c>
      <c r="O6" s="50">
        <v>3600000.0</v>
      </c>
      <c r="Q6" s="44" t="s">
        <v>76</v>
      </c>
      <c r="R6" s="45" t="s">
        <v>77</v>
      </c>
      <c r="S6" s="45" t="s">
        <v>78</v>
      </c>
      <c r="T6" s="45" t="s">
        <v>79</v>
      </c>
    </row>
    <row r="7" ht="14.25" customHeight="1">
      <c r="B7" s="37" t="s">
        <v>80</v>
      </c>
      <c r="C7" s="40" t="s">
        <v>81</v>
      </c>
      <c r="D7" s="39">
        <v>25000.0</v>
      </c>
      <c r="E7" s="39">
        <v>25000.0</v>
      </c>
      <c r="G7" s="37" t="s">
        <v>82</v>
      </c>
      <c r="H7" s="40" t="s">
        <v>83</v>
      </c>
      <c r="I7" s="51">
        <v>240000.0</v>
      </c>
      <c r="K7" s="37" t="s">
        <v>84</v>
      </c>
      <c r="L7" s="38">
        <v>1.0</v>
      </c>
      <c r="M7" s="52">
        <v>7.0</v>
      </c>
      <c r="N7" s="49">
        <v>1800000.0</v>
      </c>
      <c r="O7" s="53">
        <v>1.26E7</v>
      </c>
      <c r="Q7" s="44" t="s">
        <v>85</v>
      </c>
      <c r="R7" s="45" t="s">
        <v>86</v>
      </c>
      <c r="S7" s="45" t="s">
        <v>87</v>
      </c>
      <c r="T7" s="45" t="s">
        <v>88</v>
      </c>
    </row>
    <row r="8" ht="14.25" customHeight="1">
      <c r="B8" s="37" t="s">
        <v>89</v>
      </c>
      <c r="C8" s="40" t="s">
        <v>81</v>
      </c>
      <c r="D8" s="39">
        <v>15000.0</v>
      </c>
      <c r="E8" s="39">
        <v>15000.0</v>
      </c>
      <c r="K8" s="37" t="s">
        <v>90</v>
      </c>
      <c r="L8" s="40" t="s">
        <v>91</v>
      </c>
      <c r="M8" s="40" t="s">
        <v>91</v>
      </c>
      <c r="N8" s="54" t="s">
        <v>91</v>
      </c>
      <c r="O8" s="55">
        <v>4.47E7</v>
      </c>
      <c r="Q8" s="44" t="s">
        <v>92</v>
      </c>
      <c r="R8" s="45" t="s">
        <v>93</v>
      </c>
      <c r="S8" s="45" t="s">
        <v>94</v>
      </c>
      <c r="T8" s="45" t="s">
        <v>95</v>
      </c>
    </row>
    <row r="9" ht="14.25" customHeight="1">
      <c r="B9" s="37" t="s">
        <v>96</v>
      </c>
      <c r="C9" s="38">
        <v>1.0</v>
      </c>
      <c r="D9" s="39">
        <v>20000.0</v>
      </c>
      <c r="E9" s="39">
        <v>20000.0</v>
      </c>
      <c r="Q9" s="44" t="s">
        <v>97</v>
      </c>
      <c r="R9" s="45" t="s">
        <v>98</v>
      </c>
      <c r="S9" s="45" t="s">
        <v>99</v>
      </c>
      <c r="T9" s="45" t="s">
        <v>100</v>
      </c>
    </row>
    <row r="10" ht="14.25" customHeight="1">
      <c r="B10" s="56" t="s">
        <v>101</v>
      </c>
      <c r="C10" s="57">
        <v>3.0</v>
      </c>
      <c r="D10" s="58" t="str">
        <f>S4</f>
        <v>$3.500.000 – $6.000.000</v>
      </c>
      <c r="E10" s="59" t="str">
        <f>R12</f>
        <v>$10'500.000 </v>
      </c>
      <c r="Q10" s="44" t="s">
        <v>102</v>
      </c>
      <c r="R10" s="45" t="s">
        <v>103</v>
      </c>
      <c r="S10" s="45" t="s">
        <v>104</v>
      </c>
      <c r="T10" s="45" t="s">
        <v>105</v>
      </c>
    </row>
    <row r="11" ht="53.25" customHeight="1">
      <c r="B11" s="44" t="s">
        <v>106</v>
      </c>
      <c r="C11" s="60">
        <v>1.0</v>
      </c>
      <c r="D11" s="61">
        <f>R20</f>
        <v>450000</v>
      </c>
      <c r="E11" s="61">
        <f>D11</f>
        <v>450000</v>
      </c>
      <c r="Q11" s="62" t="s">
        <v>107</v>
      </c>
      <c r="R11" s="63" t="s">
        <v>108</v>
      </c>
      <c r="S11" s="9"/>
      <c r="T11" s="2"/>
    </row>
    <row r="12" ht="14.25" customHeight="1">
      <c r="B12" s="37" t="s">
        <v>109</v>
      </c>
      <c r="C12" s="40" t="s">
        <v>91</v>
      </c>
      <c r="D12" s="40" t="s">
        <v>91</v>
      </c>
      <c r="E12" s="64">
        <v>1.1105E7</v>
      </c>
      <c r="Q12" s="44" t="s">
        <v>110</v>
      </c>
      <c r="R12" s="65" t="s">
        <v>111</v>
      </c>
    </row>
    <row r="13" ht="14.25" customHeight="1"/>
    <row r="14" ht="14.25" customHeight="1">
      <c r="Q14" s="30" t="s">
        <v>112</v>
      </c>
      <c r="R14" s="9"/>
      <c r="S14" s="2"/>
    </row>
    <row r="15" ht="14.25" customHeight="1">
      <c r="Q15" s="36" t="s">
        <v>113</v>
      </c>
      <c r="R15" s="36" t="s">
        <v>114</v>
      </c>
      <c r="S15" s="36" t="s">
        <v>115</v>
      </c>
    </row>
    <row r="16" ht="14.25" customHeight="1">
      <c r="Q16" s="44" t="s">
        <v>116</v>
      </c>
      <c r="R16" s="45" t="s">
        <v>117</v>
      </c>
      <c r="S16" s="45" t="s">
        <v>118</v>
      </c>
    </row>
    <row r="17" ht="14.25" customHeight="1">
      <c r="Q17" s="44" t="s">
        <v>119</v>
      </c>
      <c r="R17" s="45" t="s">
        <v>120</v>
      </c>
      <c r="S17" s="45" t="s">
        <v>121</v>
      </c>
    </row>
    <row r="18" ht="14.25" customHeight="1">
      <c r="Q18" s="44" t="s">
        <v>122</v>
      </c>
      <c r="R18" s="45" t="s">
        <v>123</v>
      </c>
      <c r="S18" s="45" t="s">
        <v>124</v>
      </c>
    </row>
    <row r="19" ht="69.0" customHeight="1">
      <c r="Q19" s="62" t="s">
        <v>107</v>
      </c>
      <c r="R19" s="63" t="s">
        <v>125</v>
      </c>
      <c r="S19" s="2"/>
    </row>
    <row r="20" ht="14.25" customHeight="1">
      <c r="Q20" s="44" t="s">
        <v>110</v>
      </c>
      <c r="R20" s="66">
        <v>450000.0</v>
      </c>
      <c r="S20" s="67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">
    <mergeCell ref="B2:E2"/>
    <mergeCell ref="G2:I2"/>
    <mergeCell ref="K2:O2"/>
    <mergeCell ref="Q2:T2"/>
    <mergeCell ref="R11:T11"/>
    <mergeCell ref="Q14:S14"/>
    <mergeCell ref="R19:S19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11.57"/>
    <col customWidth="1" min="3" max="3" width="21.29"/>
    <col customWidth="1" min="4" max="4" width="22.86"/>
    <col customWidth="1" min="5" max="5" width="10.71"/>
    <col customWidth="1" min="6" max="6" width="23.43"/>
    <col customWidth="1" min="7" max="7" width="22.86"/>
    <col customWidth="1" min="8" max="8" width="23.29"/>
    <col customWidth="1" min="9" max="26" width="10.71"/>
  </cols>
  <sheetData>
    <row r="1" ht="14.25" customHeight="1"/>
    <row r="2" ht="14.25" customHeight="1">
      <c r="B2" s="30" t="s">
        <v>126</v>
      </c>
      <c r="C2" s="9"/>
      <c r="D2" s="2"/>
      <c r="F2" s="68" t="s">
        <v>127</v>
      </c>
      <c r="G2" s="9"/>
      <c r="H2" s="2"/>
    </row>
    <row r="3" ht="14.25" customHeight="1">
      <c r="B3" s="36" t="s">
        <v>113</v>
      </c>
      <c r="C3" s="36" t="s">
        <v>114</v>
      </c>
      <c r="D3" s="36" t="s">
        <v>115</v>
      </c>
      <c r="F3" s="36" t="s">
        <v>113</v>
      </c>
      <c r="G3" s="36" t="s">
        <v>114</v>
      </c>
      <c r="H3" s="36" t="s">
        <v>115</v>
      </c>
    </row>
    <row r="4" ht="14.25" customHeight="1">
      <c r="B4" s="44" t="s">
        <v>116</v>
      </c>
      <c r="C4" s="45" t="s">
        <v>117</v>
      </c>
      <c r="D4" s="45" t="s">
        <v>118</v>
      </c>
      <c r="F4" s="44" t="s">
        <v>128</v>
      </c>
      <c r="G4" s="45" t="s">
        <v>129</v>
      </c>
      <c r="H4" s="45" t="s">
        <v>130</v>
      </c>
    </row>
    <row r="5" ht="14.25" customHeight="1">
      <c r="B5" s="44" t="s">
        <v>119</v>
      </c>
      <c r="C5" s="45" t="s">
        <v>120</v>
      </c>
      <c r="D5" s="45" t="s">
        <v>121</v>
      </c>
      <c r="F5" s="44" t="s">
        <v>131</v>
      </c>
      <c r="G5" s="45" t="s">
        <v>132</v>
      </c>
      <c r="H5" s="45" t="s">
        <v>133</v>
      </c>
    </row>
    <row r="6" ht="14.25" customHeight="1">
      <c r="B6" s="44" t="s">
        <v>122</v>
      </c>
      <c r="C6" s="45" t="s">
        <v>123</v>
      </c>
      <c r="D6" s="45" t="s">
        <v>124</v>
      </c>
      <c r="F6" s="44" t="s">
        <v>134</v>
      </c>
      <c r="G6" s="45" t="s">
        <v>135</v>
      </c>
      <c r="H6" s="45" t="s">
        <v>136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B2:D2"/>
    <mergeCell ref="F2:H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2025-09-01T14:21:14Z</dcterms:created>
  <dc:creator>juan david cabrera caballero</dc:creator>
</cp:coreProperties>
</file>